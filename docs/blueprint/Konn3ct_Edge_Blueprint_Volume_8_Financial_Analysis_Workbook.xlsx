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8" activeTab="12"/>
  </bookViews>
  <sheets>
    <sheet name="00 Cover" sheetId="1" r:id="rId1"/>
    <sheet name="01 Assumptions" sheetId="2" r:id="rId2"/>
    <sheet name="02 User Forecast" sheetId="3" r:id="rId3"/>
    <sheet name="03 Revenue Forecast" sheetId="4" r:id="rId4"/>
    <sheet name="04 Cost Forecast" sheetId="5" r:id="rId5"/>
    <sheet name="05 Profitability" sheetId="6" r:id="rId6"/>
    <sheet name="06 Gross Margin" sheetId="7" r:id="rId7"/>
    <sheet name="07 CAC LTV" sheetId="8" r:id="rId8"/>
    <sheet name="08 Break Even" sheetId="9" r:id="rId9"/>
    <sheet name="09 Scenarios" sheetId="10" r:id="rId10"/>
    <sheet name="10 Meeting Subs" sheetId="11" r:id="rId11"/>
    <sheet name="11 Webinar Events" sheetId="12" r:id="rId12"/>
    <sheet name="12 Replay Revenue" sheetId="13" r:id="rId13"/>
    <sheet name="13 Enterprise API Partner" sheetId="14" r:id="rId14"/>
    <sheet name="14 Dashboard" sheetId="15" r:id="rId15"/>
    <sheet name="15 Sourc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<sst xmlns="http://schemas.openxmlformats.org/spreadsheetml/2006/main" count="706" uniqueCount="406">
  <si>
    <t>Konn3ct Volume 8 Financial Analysis Workbook</t>
  </si>
  <si>
    <t>Management financial model for pricing, revenue, cost, profitability, CAC/LTV, break-even and scenarios</t>
  </si>
  <si>
    <t>Workbook Section</t>
  </si>
  <si>
    <t>Purpose</t>
  </si>
  <si>
    <t>How Management Should Use It</t>
  </si>
  <si>
    <t>01 Assumptions</t>
  </si>
  <si>
    <t>All scenario-driven inputs and cost assumptions</t>
  </si>
  <si>
    <t>Update blue/yellow input cells before management review</t>
  </si>
  <si>
    <t>02 User Forecast</t>
  </si>
  <si>
    <t>Free users, paid users, conversion, churn and operational volume</t>
  </si>
  <si>
    <t>Review user growth and paid conversion assumptions</t>
  </si>
  <si>
    <t>03 Revenue Forecast</t>
  </si>
  <si>
    <t>Subscription, webinar, replay, donation, enterprise, API and partner revenue</t>
  </si>
  <si>
    <t>Track revenue stream contribution and growth</t>
  </si>
  <si>
    <t>04 Cost Forecast</t>
  </si>
  <si>
    <t>Direct service costs and operating costs</t>
  </si>
  <si>
    <t>Understand cost pressure and margin risk</t>
  </si>
  <si>
    <t>05 Profitability</t>
  </si>
  <si>
    <t>Gross profit, EBITDA, cash flow and cumulative performance</t>
  </si>
  <si>
    <t>Assess sustainability and runway</t>
  </si>
  <si>
    <t>06 Gross Margin</t>
  </si>
  <si>
    <t>Margin by revenue stream</t>
  </si>
  <si>
    <t>Prioritize high-margin commercial focus areas</t>
  </si>
  <si>
    <t>07 CAC LTV</t>
  </si>
  <si>
    <t>Customer acquisition, lifetime value and retention economics</t>
  </si>
  <si>
    <t>Control sales efficiency and churn</t>
  </si>
  <si>
    <t>08 Break Even</t>
  </si>
  <si>
    <t>Month-by-month break-even analysis</t>
  </si>
  <si>
    <t>Identify when the business becomes self-sustaining</t>
  </si>
  <si>
    <t>09 Scenarios</t>
  </si>
  <si>
    <t>Conservative, Base and Aggressive model comparison</t>
  </si>
  <si>
    <t>Compare growth and profitability paths</t>
  </si>
  <si>
    <t>10–13 Revenue Detail Tabs</t>
  </si>
  <si>
    <t>Meeting, webinar, replay, enterprise, API and partner detail</t>
  </si>
  <si>
    <t>Use for package and pricing design</t>
  </si>
  <si>
    <t>14 Dashboard</t>
  </si>
  <si>
    <t>Executive KPI view</t>
  </si>
  <si>
    <t>Use for board/management discussions</t>
  </si>
  <si>
    <t>15 Sources</t>
  </si>
  <si>
    <t>Model sources, notes and usage guidance</t>
  </si>
  <si>
    <t>Keep assumptions transparent</t>
  </si>
  <si>
    <t>Key Workbook Rule</t>
  </si>
  <si>
    <t>Blue/yellow cells are hardcoded management inputs. Green cells are workbook links. Black cells are formulas. Replace assumptions with actual Konn3ct operating data as the platform matures.</t>
  </si>
  <si>
    <t>Scenario-driven assumptions for users, revenue, pricing, costs and profitability</t>
  </si>
  <si>
    <t>Assumption</t>
  </si>
  <si>
    <t>Conservative</t>
  </si>
  <si>
    <t>Base</t>
  </si>
  <si>
    <t>Aggressive</t>
  </si>
  <si>
    <t>Selected Value</t>
  </si>
  <si>
    <t>Unit</t>
  </si>
  <si>
    <t>Source / Management Note</t>
  </si>
  <si>
    <t>Selected Scenario</t>
  </si>
  <si>
    <t>Text</t>
  </si>
  <si>
    <t>Choose Conservative, Base or Aggressive in C5</t>
  </si>
  <si>
    <t>Starting Free Users</t>
  </si>
  <si>
    <t>Users</t>
  </si>
  <si>
    <t>Management planning assumption</t>
  </si>
  <si>
    <t>Starting Paid Users</t>
  </si>
  <si>
    <t>Free User Monthly Growth Rate</t>
  </si>
  <si>
    <t>%</t>
  </si>
  <si>
    <t>Marketing and organic growth assumption</t>
  </si>
  <si>
    <t>Free-to-Paid Monthly Conversion Rate</t>
  </si>
  <si>
    <t>Conversion assumption from free usage to paid value</t>
  </si>
  <si>
    <t>Paid User Monthly Churn Rate</t>
  </si>
  <si>
    <t>Retention / churn assumption</t>
  </si>
  <si>
    <t>Subscription ARPU per Paid User</t>
  </si>
  <si>
    <t>NGN / Month</t>
  </si>
  <si>
    <t>Average monthly subscription revenue per paid user</t>
  </si>
  <si>
    <t>Meeting Add-On Revenue per Paid User</t>
  </si>
  <si>
    <t>Capacity, storage, AI and support add-ons</t>
  </si>
  <si>
    <t>Webinar Events in Month 1</t>
  </si>
  <si>
    <t>Events</t>
  </si>
  <si>
    <t>Paid or monetizable events per month</t>
  </si>
  <si>
    <t>Webinar Event Monthly Growth Rate</t>
  </si>
  <si>
    <t>Growth in monetized events</t>
  </si>
  <si>
    <t>Average Paid Tickets per Webinar/Event</t>
  </si>
  <si>
    <t>Tickets</t>
  </si>
  <si>
    <t>Average paid attendees per event</t>
  </si>
  <si>
    <t>Average Ticket Price</t>
  </si>
  <si>
    <t>NGN</t>
  </si>
  <si>
    <t>Average customer ticket price</t>
  </si>
  <si>
    <t>Konn3ct Ticketing Platform Fee</t>
  </si>
  <si>
    <t>Platform transaction fee on event GMV</t>
  </si>
  <si>
    <t>Paid Replay Purchases in Month 1</t>
  </si>
  <si>
    <t>Purchases</t>
  </si>
  <si>
    <t>Initial paid replay volume</t>
  </si>
  <si>
    <t>Replay Purchases Monthly Growth Rate</t>
  </si>
  <si>
    <t>Growth in replay sales</t>
  </si>
  <si>
    <t>Average Replay Price</t>
  </si>
  <si>
    <t>Average paid replay price</t>
  </si>
  <si>
    <t>Konn3ct Replay Platform Fee</t>
  </si>
  <si>
    <t>Konn3ct share on paid replay GMV</t>
  </si>
  <si>
    <t>Donation GMV in Month 1</t>
  </si>
  <si>
    <t>Community donation/contribution volume processed</t>
  </si>
  <si>
    <t>Donation Monthly Growth Rate</t>
  </si>
  <si>
    <t>Growth in community contribution volume</t>
  </si>
  <si>
    <t>Donation Platform Fee</t>
  </si>
  <si>
    <t>Platform fee on donation/contribution GMV</t>
  </si>
  <si>
    <t>Starting Enterprise Accounts</t>
  </si>
  <si>
    <t>Accounts</t>
  </si>
  <si>
    <t>Initial institutional customers</t>
  </si>
  <si>
    <t>New Enterprise Accounts per Month</t>
  </si>
  <si>
    <t>Average new enterprise accounts per month</t>
  </si>
  <si>
    <t>Enterprise Monthly Revenue per Account</t>
  </si>
  <si>
    <t>Average enterprise account revenue</t>
  </si>
  <si>
    <t>Starting API/Embedded Accounts</t>
  </si>
  <si>
    <t>Initial developer/API accounts</t>
  </si>
  <si>
    <t>New API Accounts per Month</t>
  </si>
  <si>
    <t>Average new API customers per month</t>
  </si>
  <si>
    <t>API Monthly Revenue per Account</t>
  </si>
  <si>
    <t>Embedded video/API revenue per account</t>
  </si>
  <si>
    <t>Partner-Driven Revenue Share</t>
  </si>
  <si>
    <t>Share of revenue influenced by partners/ambassadors</t>
  </si>
  <si>
    <t>Partner Commission Rate</t>
  </si>
  <si>
    <t>Commission on partner-driven revenue</t>
  </si>
  <si>
    <t>Sales &amp; Marketing Monthly Budget</t>
  </si>
  <si>
    <t>Commercial acquisition budget</t>
  </si>
  <si>
    <t>Cloud Fixed Cost</t>
  </si>
  <si>
    <t>Application servers, workers and databases</t>
  </si>
  <si>
    <t>Media/SFU Fixed Cost</t>
  </si>
  <si>
    <t>Real-time audio/video infrastructure</t>
  </si>
  <si>
    <t>DevOps/Security Fixed Cost</t>
  </si>
  <si>
    <t>Monitoring, backups, security and release operations</t>
  </si>
  <si>
    <t>Support Fixed Cost</t>
  </si>
  <si>
    <t>Customer support and success base cost</t>
  </si>
  <si>
    <t>General Admin Fixed Cost</t>
  </si>
  <si>
    <t>Overhead and administration</t>
  </si>
  <si>
    <t>Direct Cost % Meeting Subscriptions</t>
  </si>
  <si>
    <t>Direct service cost ratio after scale</t>
  </si>
  <si>
    <t>Direct Cost % Webinar/Event</t>
  </si>
  <si>
    <t>Live event capacity and support cost ratio</t>
  </si>
  <si>
    <t>Direct Cost % Replay</t>
  </si>
  <si>
    <t>Storage/CDN cost ratio</t>
  </si>
  <si>
    <t>Direct Cost % Donations</t>
  </si>
  <si>
    <t>Contribution processing cost ratio</t>
  </si>
  <si>
    <t>Direct Cost % Enterprise</t>
  </si>
  <si>
    <t>Enterprise support and integration direct cost</t>
  </si>
  <si>
    <t>Direct Cost % API/Embedded</t>
  </si>
  <si>
    <t>Usage-heavy embedded video cost ratio</t>
  </si>
  <si>
    <t>Payment Gateway Fee %</t>
  </si>
  <si>
    <t>Gateway and collection fee assumption</t>
  </si>
  <si>
    <t>AI Cost per Paid User</t>
  </si>
  <si>
    <t>AI summary/transcription per paid user</t>
  </si>
  <si>
    <t>AI Cost per Webinar/Event</t>
  </si>
  <si>
    <t>NGN / Event</t>
  </si>
  <si>
    <t>AI workload per monetized event</t>
  </si>
  <si>
    <t>Storage/CDN Cost per Replay Purchase</t>
  </si>
  <si>
    <t>NGN / Purchase</t>
  </si>
  <si>
    <t>Replay streaming/storage variable cost</t>
  </si>
  <si>
    <t>Starting Cash</t>
  </si>
  <si>
    <t>Opening cash available for product growth</t>
  </si>
  <si>
    <t>Free users, paid users, conversion, churn and commercial volume drivers</t>
  </si>
  <si>
    <t>Metric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</si>
  <si>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</si>
  <si>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</si>
  <si>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</si>
  <si>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</si>
  <si>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</si>
  <si>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</si>
  <si>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</si>
  <si>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</si>
  <si>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</si>
  <si>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</si>
  <si>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</si>
  <si>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</si>
  <si>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</si>
  <si>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</si>
  <si>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</si>
  <si>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</si>
  <si>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</si>
  <si>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</si>
  <si>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</si>
  <si>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</si>
  <si>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</si>
  <si>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</si>
  <si>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</si>
  <si>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</si>
  <si>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</si>
  <si>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</si>
  <si>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</si>
  <si>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</si>
  <si>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</si>
  <si>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</si>
  <si>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</si>
  <si>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</si>
  <si>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</si>
  <si>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</si>
  <si>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</si>
  <si>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</si>
  <si>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Opening Free Users</t>
  </si>
  <si>
    <t>Gross New Free Users</t>
  </si>
  <si>
    <t>New Paid Conversions</t>
  </si>
  <si>
    <t>Closing Free Users</t>
  </si>
  <si>
    <t>Opening Paid Users</t>
  </si>
  <si>
    <t>Paid User Churn</t>
  </si>
  <si>
    <t>Closing Paid Users</t>
  </si>
  <si>
    <t>Total Active Users</t>
  </si>
  <si>
    <t>New Paid Users</t>
  </si>
  <si>
    <t>Free-to-Paid Conversion Rate</t>
  </si>
  <si>
    <t>Paid User Churn Rate</t>
  </si>
  <si>
    <t>Webinar/Event Count</t>
  </si>
  <si>
    <t>Paid Tickets Sold</t>
  </si>
  <si>
    <t>Paid Replay Purchases</t>
  </si>
  <si>
    <t>Enterprise Accounts</t>
  </si>
  <si>
    <t>API/Embedded Accounts</t>
  </si>
  <si>
    <t>Revenue by stream: meeting subscriptions, webinars, paid replay, donations, enterprise, API and partner revenue</t>
  </si>
  <si>
    <t>Meeting Subscription Revenue</t>
  </si>
  <si>
    <t>Meeting Add-On Revenue</t>
  </si>
  <si>
    <t>Webinar Ticket GMV</t>
  </si>
  <si>
    <t>Webinar/Event Platform Fee Revenue</t>
  </si>
  <si>
    <t>Paid Replay GMV</t>
  </si>
  <si>
    <t>Paid Replay Platform Revenue</t>
  </si>
  <si>
    <t>Donation GMV</t>
  </si>
  <si>
    <t>Donation Platform Revenue</t>
  </si>
  <si>
    <t>Enterprise Revenue</t>
  </si>
  <si>
    <t>API/Embedded Revenue</t>
  </si>
  <si>
    <t>Partner-Driven Revenue</t>
  </si>
  <si>
    <t>Total Konn3ct Revenue</t>
  </si>
  <si>
    <t>Total Platform GMV</t>
  </si>
  <si>
    <t>Revenue Growth %</t>
  </si>
  <si>
    <t>Direct service costs, operating costs and total cost forecast</t>
  </si>
  <si>
    <t>Cloud Compute Cost</t>
  </si>
  <si>
    <t>Media/SFU Cost</t>
  </si>
  <si>
    <t>Bandwidth/TURN Cost</t>
  </si>
  <si>
    <t>Storage/CDN Cost</t>
  </si>
  <si>
    <t>AI Processing Cost</t>
  </si>
  <si>
    <t>Payment Gateway Fees</t>
  </si>
  <si>
    <t>Total Direct Service Costs</t>
  </si>
  <si>
    <t>Customer Support Cost</t>
  </si>
  <si>
    <t>Sales &amp; Marketing Cost</t>
  </si>
  <si>
    <t>Partner Commission</t>
  </si>
  <si>
    <t>DevOps/Security Cost</t>
  </si>
  <si>
    <t>General Admin Cost</t>
  </si>
  <si>
    <t>Total Operating Costs</t>
  </si>
  <si>
    <t>Total Cost</t>
  </si>
  <si>
    <t>Gross margin, EBITDA, cash flow and cumulative profitability</t>
  </si>
  <si>
    <t>Direct Service Costs</t>
  </si>
  <si>
    <t>Gross Profit</t>
  </si>
  <si>
    <t>Gross Margin %</t>
  </si>
  <si>
    <t>Operating Costs</t>
  </si>
  <si>
    <t>EBITDA</t>
  </si>
  <si>
    <t>EBITDA Margin %</t>
  </si>
  <si>
    <t>Taxes / Other Placeholder</t>
  </si>
  <si>
    <t>Net Profit</t>
  </si>
  <si>
    <t>Opening Cash</t>
  </si>
  <si>
    <t>Net Cash Flow</t>
  </si>
  <si>
    <t>Closing Cash</t>
  </si>
  <si>
    <t>Cumulative EBITDA</t>
  </si>
  <si>
    <t>06 Gross Margin by Revenue Stream</t>
  </si>
  <si>
    <t>Summary of stream profitability across the full 36-month forecast</t>
  </si>
  <si>
    <t>Revenue Stream</t>
  </si>
  <si>
    <t>Total Revenue</t>
  </si>
  <si>
    <t>Direct Cost %</t>
  </si>
  <si>
    <t>Direct Cost</t>
  </si>
  <si>
    <t>Strategic Note</t>
  </si>
  <si>
    <t>Meeting Subscriptions</t>
  </si>
  <si>
    <t>Core recurring revenue engine</t>
  </si>
  <si>
    <t>Meeting Add-ons</t>
  </si>
  <si>
    <t>Capacity, AI, storage and support upgrades</t>
  </si>
  <si>
    <t>Webinar / Event Fees</t>
  </si>
  <si>
    <t>Event-driven monetization and lead generation</t>
  </si>
  <si>
    <t>Paid Replays</t>
  </si>
  <si>
    <t>High-potential content commerce</t>
  </si>
  <si>
    <t>Donations / Contributions</t>
  </si>
  <si>
    <t>Community and faith-based contribution flow</t>
  </si>
  <si>
    <t>Enterprise</t>
  </si>
  <si>
    <t>Institutional recurring accounts</t>
  </si>
  <si>
    <t>API / Embedded</t>
  </si>
  <si>
    <t>Developer and platform infrastructure revenue</t>
  </si>
  <si>
    <t>Commissionable channel-driven revenue</t>
  </si>
  <si>
    <t>Total</t>
  </si>
  <si>
    <t>Blended gross margin</t>
  </si>
  <si>
    <t>07 CAC, LTV and Retention Economics</t>
  </si>
  <si>
    <t>Unit economics: acquisition cost, ARPU, LTV, churn, payback and retention</t>
  </si>
  <si>
    <t>Sales &amp; Marketing Spend</t>
  </si>
  <si>
    <t>Blended CAC</t>
  </si>
  <si>
    <t>Paid Users</t>
  </si>
  <si>
    <t>ARPU</t>
  </si>
  <si>
    <t>Monthly Churn %</t>
  </si>
  <si>
    <t>Estimated LTV</t>
  </si>
  <si>
    <t>LTV / CAC</t>
  </si>
  <si>
    <t>CAC Payback Months</t>
  </si>
  <si>
    <t>08 Break-Even Analysis</t>
  </si>
  <si>
    <t>Month-by-month view of revenue, total cost, EBITDA, cumulative cash and break-even flag</t>
  </si>
  <si>
    <t>Month</t>
  </si>
  <si>
    <t>Revenue</t>
  </si>
  <si>
    <t>Break-Even Flag</t>
  </si>
  <si>
    <t>09 Conservative, Base and Aggressive Scenario Analysis</t>
  </si>
  <si>
    <t>High-level comparison of the three commercial growth cases</t>
  </si>
  <si>
    <t>Scenario</t>
  </si>
  <si>
    <t>Free User Growth</t>
  </si>
  <si>
    <t>Conversion</t>
  </si>
  <si>
    <t>Churn</t>
  </si>
  <si>
    <t>Month 36 Free Users</t>
  </si>
  <si>
    <t>Month 36 Paid Users</t>
  </si>
  <si>
    <t>Month 36 Revenue</t>
  </si>
  <si>
    <t>Estimated EBITDA</t>
  </si>
  <si>
    <t>LTV/CAC View</t>
  </si>
  <si>
    <t>Interpretation</t>
  </si>
  <si>
    <t>Useful downside case for cash protection and slower adoption.</t>
  </si>
  <si>
    <t>Planning case for management targets and operating discipline.</t>
  </si>
  <si>
    <t>Upside case requiring stronger infrastructure, support and sales execution.</t>
  </si>
  <si>
    <t>10 Meeting Subscription Revenue Worksheet</t>
  </si>
  <si>
    <t>Plan design worksheet for normal meeting subscription revenue</t>
  </si>
  <si>
    <t>Plan</t>
  </si>
  <si>
    <t>Monthly Price</t>
  </si>
  <si>
    <t>Target Customers</t>
  </si>
  <si>
    <t>Estimated Accounts</t>
  </si>
  <si>
    <t>Hosts per Account</t>
  </si>
  <si>
    <t>Monthly Revenue</t>
  </si>
  <si>
    <t>Free</t>
  </si>
  <si>
    <t>Entry adoption and activation</t>
  </si>
  <si>
    <t>Starter</t>
  </si>
  <si>
    <t>Individuals and small teams</t>
  </si>
  <si>
    <t>Business</t>
  </si>
  <si>
    <t>SMEs, schools and associations</t>
  </si>
  <si>
    <t>Institutions and large organizations</t>
  </si>
  <si>
    <t>Private / API</t>
  </si>
  <si>
    <t>Private deployment and API customers</t>
  </si>
  <si>
    <t>11 Webinar and Event Monetization Worksheet</t>
  </si>
  <si>
    <t>Event revenue worksheet for paid webinars, trainings, conferences and public sessions</t>
  </si>
  <si>
    <t>Event Type</t>
  </si>
  <si>
    <t>Avg Ticket Price</t>
  </si>
  <si>
    <t>Tickets/Event</t>
  </si>
  <si>
    <t>Events/Month</t>
  </si>
  <si>
    <t>GMV</t>
  </si>
  <si>
    <t>Platform Fee %</t>
  </si>
  <si>
    <t>Konn3ct Revenue</t>
  </si>
  <si>
    <t>Training Webinar</t>
  </si>
  <si>
    <t>Professional Conference</t>
  </si>
  <si>
    <t>Faith-Based Conference</t>
  </si>
  <si>
    <t>Association Training</t>
  </si>
  <si>
    <t>Public Sector Town Hall</t>
  </si>
  <si>
    <t>12 Paid Replay and Recording Monetization Worksheet</t>
  </si>
  <si>
    <t>Replay commerce worksheet for post-event revenue and content libraries</t>
  </si>
  <si>
    <t>Replay Product</t>
  </si>
  <si>
    <t>Avg Price</t>
  </si>
  <si>
    <t>Purchases/Month</t>
  </si>
  <si>
    <t>Platform Share %</t>
  </si>
  <si>
    <t>Single Replay Access</t>
  </si>
  <si>
    <t>Replay Bundle</t>
  </si>
  <si>
    <t>Course Library Monthly</t>
  </si>
  <si>
    <t>Enterprise Private Replay</t>
  </si>
  <si>
    <t>13 Enterprise, API and Partner Revenue Worksheet</t>
  </si>
  <si>
    <t>Strategic B2B, private deployment, embedded video and partner-channel revenue</t>
  </si>
  <si>
    <t>Commercial Segment</t>
  </si>
  <si>
    <t>Monthly Revenue / Account</t>
  </si>
  <si>
    <t>Commission %</t>
  </si>
  <si>
    <t>Net Contribution</t>
  </si>
  <si>
    <t>Private Deployment</t>
  </si>
  <si>
    <t>Developer / API Accounts</t>
  </si>
  <si>
    <t>Partner-Led Subscription Revenue</t>
  </si>
  <si>
    <t>Ambassador Event Revenue</t>
  </si>
  <si>
    <t>14 Commercial KPI and Financial Dashboard</t>
  </si>
  <si>
    <t>Executive summary from the Volume 8 financial workbook</t>
  </si>
  <si>
    <t>KPI</t>
  </si>
  <si>
    <t>Current / Month 36 Value</t>
  </si>
  <si>
    <t>Meaning</t>
  </si>
  <si>
    <t>Free Users</t>
  </si>
  <si>
    <t>Closing free users in Month 36</t>
  </si>
  <si>
    <t>Closing paid users in Month 36</t>
  </si>
  <si>
    <t>MRR</t>
  </si>
  <si>
    <t>Month 36 Konn3ct revenue</t>
  </si>
  <si>
    <t>ARR Run Rate</t>
  </si>
  <si>
    <t>Month 36 MRR multiplied by 12</t>
  </si>
  <si>
    <t>Month 36 gross margin</t>
  </si>
  <si>
    <t>Month 36 EBITDA margin</t>
  </si>
  <si>
    <t>Month 36 closing cash</t>
  </si>
  <si>
    <t>Total 36M Revenue</t>
  </si>
  <si>
    <t>Total Konn3ct revenue over forecast</t>
  </si>
  <si>
    <t>Total 36M EBITDA</t>
  </si>
  <si>
    <t>Total EBITDA over forecast</t>
  </si>
  <si>
    <t>Month 36 CAC</t>
  </si>
  <si>
    <t>Sales &amp; marketing spend per new paid user</t>
  </si>
  <si>
    <t>Month 36 LTV / CAC</t>
  </si>
  <si>
    <t>Capital efficiency indicator</t>
  </si>
  <si>
    <t>Revenue and Profitability Trend</t>
  </si>
  <si>
    <t>15 Sources, Notes and Model Governance</t>
  </si>
  <si>
    <t>Source notes, model assumptions and workbook usage guidance</t>
  </si>
  <si>
    <t>Area</t>
  </si>
  <si>
    <t>Source / Note</t>
  </si>
  <si>
    <t>Action Required Before Board Use</t>
  </si>
  <si>
    <t>Revenue assumptions</t>
  </si>
  <si>
    <t>Management planning placeholders designed for Konn3ct Volume 8 strategy</t>
  </si>
  <si>
    <t>Replace with actual current pricing, pipeline and transaction data</t>
  </si>
  <si>
    <t>Competitor learning</t>
  </si>
  <si>
    <t>Pricing model lessons from Zoom, Teams, Webex and Jitsi categories; no live competitor pricing is hardcoded</t>
  </si>
  <si>
    <t>Validate competitor prices and plan limits before external presentation</t>
  </si>
  <si>
    <t>Costs</t>
  </si>
  <si>
    <t>Cost lines are model placeholders for cloud, SFU, bandwidth, storage, AI, support, sales, DevOps and admin</t>
  </si>
  <si>
    <t>Replace with actual vendor bills, payroll, gateway charges and infrastructure invoices</t>
  </si>
  <si>
    <t>CAC/LTV</t>
  </si>
  <si>
    <t>Uses sales and marketing budget and new paid user conversion as simplified blended CAC</t>
  </si>
  <si>
    <t>Replace with campaign-level CAC once Odoo CRM data is available</t>
  </si>
  <si>
    <t>Break-even</t>
  </si>
  <si>
    <t>Uses EBITDA and cumulative EBITDA/cash as simplified management view</t>
  </si>
  <si>
    <t>Add taxes, financing, capex and working capital when actual financials are available</t>
  </si>
  <si>
    <t>Currency</t>
  </si>
  <si>
    <t>Default currency is NGN; can be changed in labels and assumptions</t>
  </si>
  <si>
    <t>Confirm pricing and multi-currency logic before country expansion</t>
  </si>
  <si>
    <t>Workbook control</t>
  </si>
  <si>
    <t>Blue/yellow cells are editable inputs; green cells link across sheets; black cells are formulas</t>
  </si>
  <si>
    <t>Do not overwrite formula cells without version control</t>
  </si>
  <si>
    <t>Model version</t>
  </si>
  <si>
    <t>Version 1.0 financial analysis workbook for Volume 8</t>
  </si>
  <si>
    <t>Update monthly as actual users, paid conversions, churn and costs become 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</si>
</sst>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[Red]\(#,##0\);\-"/>
    <numFmt numFmtId="179" formatCode="&quot;₦&quot;#,##0;[Red]\(&quot;₦&quot;#,##0\);\-"/>
    <numFmt numFmtId="180" formatCode="0.0%;[Red]\(0.0%\);\-"/>
    <numFmt numFmtId="181" formatCode="0.0#;[Red]\(0.0#\);\-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44546A"/>
      <name val="Carlito"/>
      <charset val="134"/>
    </font>
    <font>
      <b/>
      <sz val="11"/>
      <color rgb="FFFFFFFF"/>
      <name val="Carlito"/>
      <charset val="134"/>
    </font>
    <font>
      <sz val="11"/>
      <color rgb="FF008000"/>
      <name val="Carlito"/>
      <charset val="134"/>
    </font>
    <font>
      <sz val="11"/>
      <color rgb="FF0000FF"/>
      <name val="Carlito"/>
      <charset val="134"/>
    </font>
    <font>
      <b/>
      <sz val="11"/>
      <name val="Carlito"/>
      <charset val="134"/>
    </font>
    <font>
      <b/>
      <sz val="11"/>
      <color rgb="FF008000"/>
      <name val="Carlito"/>
      <charset val="134"/>
    </font>
    <font>
      <b/>
      <sz val="11"/>
      <color rgb="FF0000FF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61B3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1FA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178" fontId="4" fillId="0" borderId="0" xfId="0" applyNumberFormat="1" applyFont="1" applyFill="1" applyBorder="1" applyAlignment="1">
      <alignment wrapText="1"/>
    </xf>
    <xf numFmtId="179" fontId="4" fillId="0" borderId="0" xfId="0" applyNumberFormat="1" applyFont="1" applyFill="1" applyBorder="1" applyAlignment="1">
      <alignment wrapText="1"/>
    </xf>
    <xf numFmtId="180" fontId="4" fillId="0" borderId="0" xfId="0" applyNumberFormat="1" applyFont="1" applyFill="1" applyBorder="1" applyAlignment="1">
      <alignment wrapText="1"/>
    </xf>
    <xf numFmtId="181" fontId="4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179" fontId="4" fillId="0" borderId="0" xfId="0" applyNumberFormat="1" applyFont="1" applyFill="1" applyBorder="1"/>
    <xf numFmtId="178" fontId="5" fillId="4" borderId="0" xfId="0" applyNumberFormat="1" applyFont="1" applyFill="1" applyBorder="1"/>
    <xf numFmtId="179" fontId="5" fillId="4" borderId="0" xfId="0" applyNumberFormat="1" applyFont="1" applyFill="1" applyBorder="1"/>
    <xf numFmtId="180" fontId="5" fillId="4" borderId="0" xfId="0" applyNumberFormat="1" applyFont="1" applyFill="1" applyBorder="1"/>
    <xf numFmtId="180" fontId="4" fillId="4" borderId="0" xfId="0" applyNumberFormat="1" applyFont="1" applyFill="1" applyBorder="1"/>
    <xf numFmtId="0" fontId="6" fillId="5" borderId="0" xfId="0" applyNumberFormat="1" applyFont="1" applyFill="1" applyBorder="1"/>
    <xf numFmtId="178" fontId="6" fillId="5" borderId="0" xfId="0" applyNumberFormat="1" applyFont="1" applyFill="1" applyBorder="1"/>
    <xf numFmtId="179" fontId="6" fillId="5" borderId="0" xfId="0" applyNumberFormat="1" applyFont="1" applyFill="1" applyBorder="1"/>
    <xf numFmtId="179" fontId="7" fillId="5" borderId="0" xfId="0" applyNumberFormat="1" applyFont="1" applyFill="1" applyBorder="1"/>
    <xf numFmtId="180" fontId="6" fillId="5" borderId="0" xfId="0" applyNumberFormat="1" applyFont="1" applyFill="1" applyBorder="1"/>
    <xf numFmtId="180" fontId="7" fillId="5" borderId="0" xfId="0" applyNumberFormat="1" applyFont="1" applyFill="1" applyBorder="1"/>
    <xf numFmtId="179" fontId="8" fillId="5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 applyAlignment="1">
      <alignment wrapText="1"/>
    </xf>
    <xf numFmtId="180" fontId="4" fillId="0" borderId="0" xfId="0" applyNumberFormat="1" applyFont="1" applyFill="1" applyBorder="1"/>
    <xf numFmtId="0" fontId="9" fillId="5" borderId="0" xfId="0" applyNumberFormat="1" applyFont="1" applyFill="1" applyBorder="1" applyAlignment="1">
      <alignment wrapText="1"/>
    </xf>
    <xf numFmtId="179" fontId="7" fillId="5" borderId="0" xfId="0" applyNumberFormat="1" applyFont="1" applyFill="1" applyBorder="1" applyAlignment="1">
      <alignment wrapText="1"/>
    </xf>
    <xf numFmtId="180" fontId="7" fillId="5" borderId="0" xfId="0" applyNumberFormat="1" applyFont="1" applyFill="1" applyBorder="1" applyAlignment="1">
      <alignment wrapText="1"/>
    </xf>
    <xf numFmtId="0" fontId="9" fillId="6" borderId="0" xfId="0" applyNumberFormat="1" applyFont="1" applyFill="1" applyBorder="1" applyAlignment="1">
      <alignment wrapText="1"/>
    </xf>
    <xf numFmtId="179" fontId="7" fillId="6" borderId="0" xfId="0" applyNumberFormat="1" applyFont="1" applyFill="1" applyBorder="1" applyAlignment="1">
      <alignment wrapText="1"/>
    </xf>
    <xf numFmtId="180" fontId="7" fillId="6" borderId="0" xfId="0" applyNumberFormat="1" applyFont="1" applyFill="1" applyBorder="1" applyAlignment="1">
      <alignment wrapText="1"/>
    </xf>
    <xf numFmtId="0" fontId="9" fillId="7" borderId="0" xfId="0" applyNumberFormat="1" applyFont="1" applyFill="1" applyBorder="1" applyAlignment="1">
      <alignment wrapText="1"/>
    </xf>
    <xf numFmtId="179" fontId="7" fillId="7" borderId="0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178" fontId="5" fillId="4" borderId="0" xfId="0" applyNumberFormat="1" applyFont="1" applyFill="1" applyBorder="1" applyAlignment="1">
      <alignment wrapText="1"/>
    </xf>
    <xf numFmtId="178" fontId="4" fillId="5" borderId="0" xfId="0" applyNumberFormat="1" applyFont="1" applyFill="1" applyBorder="1" applyAlignment="1">
      <alignment wrapText="1"/>
    </xf>
    <xf numFmtId="180" fontId="5" fillId="4" borderId="0" xfId="0" applyNumberFormat="1" applyFont="1" applyFill="1" applyBorder="1" applyAlignment="1">
      <alignment wrapText="1"/>
    </xf>
    <xf numFmtId="180" fontId="4" fillId="5" borderId="0" xfId="0" applyNumberFormat="1" applyFont="1" applyFill="1" applyBorder="1" applyAlignment="1">
      <alignment wrapText="1"/>
    </xf>
    <xf numFmtId="179" fontId="5" fillId="4" borderId="0" xfId="0" applyNumberFormat="1" applyFont="1" applyFill="1" applyBorder="1" applyAlignment="1">
      <alignment wrapText="1"/>
    </xf>
    <xf numFmtId="179" fontId="4" fillId="5" borderId="0" xfId="0" applyNumberFormat="1" applyFont="1" applyFill="1" applyBorder="1" applyAlignment="1">
      <alignment wrapText="1"/>
    </xf>
    <xf numFmtId="0" fontId="2" fillId="8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B91C1C"/>
      </font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vs EBITDA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dLbls>
            <c:delete val="1"/>
          </c:dLbls>
          <c:cat>
            <c:strRef>
              <c:f>'14 Dashboard'!$A$19:$A$54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'14 Dashboard'!$B$19:$B$54</c:f>
              <c:numCache>
                <c:formatCode>"₦"#,##0;[Red]\("₦"#,##0\);\-</c:formatCode>
                <c:ptCount val="36"/>
                <c:pt idx="0">
                  <c:v>5134401.25</c:v>
                </c:pt>
                <c:pt idx="1">
                  <c:v>6770398.45625</c:v>
                </c:pt>
                <c:pt idx="2">
                  <c:v>8460377.31653125</c:v>
                </c:pt>
                <c:pt idx="3">
                  <c:v>10209456.7706089</c:v>
                </c:pt>
                <c:pt idx="4">
                  <c:v>12023077.977149</c:v>
                </c:pt>
                <c:pt idx="5">
                  <c:v>13907029.8520003</c:v>
                </c:pt>
                <c:pt idx="6">
                  <c:v>15867476.4961275</c:v>
                </c:pt>
                <c:pt idx="7">
                  <c:v>17910986.6641422</c:v>
                </c:pt>
                <c:pt idx="8">
                  <c:v>20044565.4365615</c:v>
                </c:pt>
                <c:pt idx="9">
                  <c:v>22275688.2721283</c:v>
                </c:pt>
                <c:pt idx="10">
                  <c:v>24612337.6308423</c:v>
                </c:pt>
                <c:pt idx="11">
                  <c:v>27063042.3738666</c:v>
                </c:pt>
                <c:pt idx="12">
                  <c:v>29636920.1633001</c:v>
                </c:pt>
                <c:pt idx="13">
                  <c:v>32343723.103051</c:v>
                </c:pt>
                <c:pt idx="14">
                  <c:v>35193886.8818336</c:v>
                </c:pt>
                <c:pt idx="15">
                  <c:v>38198583.7007734</c:v>
                </c:pt>
                <c:pt idx="16">
                  <c:v>41369779.2913915</c:v>
                </c:pt>
                <c:pt idx="17">
                  <c:v>44720294.3549998</c:v>
                </c:pt>
                <c:pt idx="18">
                  <c:v>48263870.7819559</c:v>
                </c:pt>
                <c:pt idx="19">
                  <c:v>52015243.0389759</c:v>
                </c:pt>
                <c:pt idx="20">
                  <c:v>55990215.1450002</c:v>
                </c:pt>
                <c:pt idx="21">
                  <c:v>60205743.6911639</c:v>
                </c:pt>
                <c:pt idx="22">
                  <c:v>64680027.398488</c:v>
                </c:pt>
                <c:pt idx="23">
                  <c:v>69432603.7482409</c:v>
                </c:pt>
                <c:pt idx="24">
                  <c:v>74484453.264806</c:v>
                </c:pt>
                <c:pt idx="25">
                  <c:v>79858112.0796496</c:v>
                </c:pt>
                <c:pt idx="26">
                  <c:v>85577793.4579462</c:v>
                </c:pt>
                <c:pt idx="27">
                  <c:v>91669519.0269621</c:v>
                </c:pt>
                <c:pt idx="28">
                  <c:v>98161260.5078231</c:v>
                </c:pt>
                <c:pt idx="29">
                  <c:v>105083092.820244</c:v>
                </c:pt>
                <c:pt idx="30">
                  <c:v>112467359.503649</c:v>
                </c:pt>
                <c:pt idx="31">
                  <c:v>120348851.47838</c:v>
                </c:pt>
                <c:pt idx="32">
                  <c:v>128765000.257996</c:v>
                </c:pt>
                <c:pt idx="33">
                  <c:v>137756086.818504</c:v>
                </c:pt>
                <c:pt idx="34">
                  <c:v>147365467.433608</c:v>
                </c:pt>
                <c:pt idx="35">
                  <c:v>157639817.897244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dLbls>
            <c:delete val="1"/>
          </c:dLbls>
          <c:cat>
            <c:strRef>
              <c:f>'14 Dashboard'!$A$19:$A$54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'14 Dashboard'!$C$19:$C$54</c:f>
              <c:numCache>
                <c:formatCode>"₦"#,##0;[Red]\("₦"#,##0\);\-</c:formatCode>
                <c:ptCount val="36"/>
                <c:pt idx="0">
                  <c:v>-4229550.8125</c:v>
                </c:pt>
                <c:pt idx="1">
                  <c:v>-2786852.3465625</c:v>
                </c:pt>
                <c:pt idx="2">
                  <c:v>-1299197.63849531</c:v>
                </c:pt>
                <c:pt idx="3">
                  <c:v>237752.452250462</c:v>
                </c:pt>
                <c:pt idx="4">
                  <c:v>1828604.11529303</c:v>
                </c:pt>
                <c:pt idx="5">
                  <c:v>3478251.64078328</c:v>
                </c:pt>
                <c:pt idx="6">
                  <c:v>5191900.00381353</c:v>
                </c:pt>
                <c:pt idx="7">
                  <c:v>6975089.10300622</c:v>
                </c:pt>
                <c:pt idx="8">
                  <c:v>8833719.78419487</c:v>
                </c:pt>
                <c:pt idx="9">
                  <c:v>10774081.7905919</c:v>
                </c:pt>
                <c:pt idx="10">
                  <c:v>12802883.792195</c:v>
                </c:pt>
                <c:pt idx="11">
                  <c:v>14927285.6594872</c:v>
                </c:pt>
                <c:pt idx="12">
                  <c:v>17154933.1598213</c:v>
                </c:pt>
                <c:pt idx="13">
                  <c:v>19493995.2693291</c:v>
                </c:pt>
                <c:pt idx="14">
                  <c:v>21953204.3088626</c:v>
                </c:pt>
                <c:pt idx="15">
                  <c:v>24541899.1294571</c:v>
                </c:pt>
                <c:pt idx="16">
                  <c:v>27270071.59122</c:v>
                </c:pt>
                <c:pt idx="17">
                  <c:v>30148416.5995218</c:v>
                </c:pt>
                <c:pt idx="18">
                  <c:v>33188385.9840231</c:v>
                </c:pt>
                <c:pt idx="19">
                  <c:v>36402246.5295719</c:v>
                </c:pt>
                <c:pt idx="20">
                  <c:v>39803142.4934941</c:v>
                </c:pt>
                <c:pt idx="21">
                  <c:v>43405162.9714672</c:v>
                </c:pt>
                <c:pt idx="22">
                  <c:v>47223414.5041864</c:v>
                </c:pt>
                <c:pt idx="23">
                  <c:v>51274099.3496186</c:v>
                </c:pt>
                <c:pt idx="24">
                  <c:v>55574599.8810173</c:v>
                </c:pt>
                <c:pt idx="25">
                  <c:v>60143569.6092805</c:v>
                </c:pt>
                <c:pt idx="26">
                  <c:v>65001031.3699417</c:v>
                </c:pt>
                <c:pt idx="27">
                  <c:v>70168483.2603856</c:v>
                </c:pt>
                <c:pt idx="28">
                  <c:v>75669012.9620856</c:v>
                </c:pt>
                <c:pt idx="29">
                  <c:v>81527421.1361149</c:v>
                </c:pt>
                <c:pt idx="30">
                  <c:v>87770354.6382663</c:v>
                </c:pt>
                <c:pt idx="31">
                  <c:v>94426450.3632352</c:v>
                </c:pt>
                <c:pt idx="32">
                  <c:v>101526490.595916</c:v>
                </c:pt>
                <c:pt idx="33">
                  <c:v>109103570.822433</c:v>
                </c:pt>
                <c:pt idx="34">
                  <c:v>117193281.034584</c:v>
                </c:pt>
                <c:pt idx="35">
                  <c:v>125833901.649534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a63bf1-9b55-45ce-bf63-af3385ddfcf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Closing Cash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dLbls>
            <c:delete val="1"/>
          </c:dLbls>
          <c:cat>
            <c:strRef>
              <c:f>{"Item 1"}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d7f1162-3766-4f4f-9f34-4f4bd63dc70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8153400" y="939800"/>
        <a:ext cx="7391400" cy="330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>
      <xdr:nvGraphicFramePr>
        <xdr:cNvPr id="3" name="Chart"/>
        <xdr:cNvGraphicFramePr/>
      </xdr:nvGraphicFramePr>
      <xdr:xfrm>
        <a:off x="8153400" y="4419600"/>
        <a:ext cx="7391400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1" sqref="A1:J1"/>
    </sheetView>
  </sheetViews>
  <sheetFormatPr defaultColWidth="9" defaultRowHeight="14"/>
  <cols>
    <col min="1" max="1" width="28" customWidth="1"/>
    <col min="2" max="2" width="45" customWidth="1"/>
    <col min="3" max="3" width="60" customWidth="1"/>
  </cols>
  <sheetData>
    <row r="1" ht="30" customHeight="1" spans="1:3">
      <c r="A1" s="1" t="s">
        <v>0</v>
      </c>
    </row>
    <row r="2" ht="30" customHeight="1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ht="36" customHeight="1" spans="1:3">
      <c r="A5" s="4" t="s">
        <v>5</v>
      </c>
      <c r="B5" s="4" t="s">
        <v>6</v>
      </c>
      <c r="C5" s="4" t="s">
        <v>7</v>
      </c>
    </row>
    <row r="6" ht="36" customHeight="1" spans="1:3">
      <c r="A6" s="4" t="s">
        <v>8</v>
      </c>
      <c r="B6" s="4" t="s">
        <v>9</v>
      </c>
      <c r="C6" s="4" t="s">
        <v>10</v>
      </c>
    </row>
    <row r="7" ht="36" customHeight="1" spans="1:3">
      <c r="A7" s="4" t="s">
        <v>11</v>
      </c>
      <c r="B7" s="4" t="s">
        <v>12</v>
      </c>
      <c r="C7" s="4" t="s">
        <v>13</v>
      </c>
    </row>
    <row r="8" ht="36" customHeight="1" spans="1:3">
      <c r="A8" s="4" t="s">
        <v>14</v>
      </c>
      <c r="B8" s="4" t="s">
        <v>15</v>
      </c>
      <c r="C8" s="4" t="s">
        <v>16</v>
      </c>
    </row>
    <row r="9" ht="36" customHeight="1" spans="1:3">
      <c r="A9" s="4" t="s">
        <v>17</v>
      </c>
      <c r="B9" s="4" t="s">
        <v>18</v>
      </c>
      <c r="C9" s="4" t="s">
        <v>19</v>
      </c>
    </row>
    <row r="10" ht="36" customHeight="1" spans="1:3">
      <c r="A10" s="4" t="s">
        <v>20</v>
      </c>
      <c r="B10" s="4" t="s">
        <v>21</v>
      </c>
      <c r="C10" s="4" t="s">
        <v>22</v>
      </c>
    </row>
    <row r="11" ht="36" customHeight="1" spans="1:3">
      <c r="A11" s="4" t="s">
        <v>23</v>
      </c>
      <c r="B11" s="4" t="s">
        <v>24</v>
      </c>
      <c r="C11" s="4" t="s">
        <v>25</v>
      </c>
    </row>
    <row r="12" ht="36" customHeight="1" spans="1:3">
      <c r="A12" s="4" t="s">
        <v>26</v>
      </c>
      <c r="B12" s="4" t="s">
        <v>27</v>
      </c>
      <c r="C12" s="4" t="s">
        <v>28</v>
      </c>
    </row>
    <row r="13" ht="36" customHeight="1" spans="1:3">
      <c r="A13" s="4" t="s">
        <v>29</v>
      </c>
      <c r="B13" s="4" t="s">
        <v>30</v>
      </c>
      <c r="C13" s="4" t="s">
        <v>31</v>
      </c>
    </row>
    <row r="14" ht="36" customHeight="1" spans="1:3">
      <c r="A14" s="4" t="s">
        <v>32</v>
      </c>
      <c r="B14" s="4" t="s">
        <v>33</v>
      </c>
      <c r="C14" s="4" t="s">
        <v>34</v>
      </c>
    </row>
    <row r="15" ht="36" customHeight="1" spans="1:3">
      <c r="A15" s="4" t="s">
        <v>35</v>
      </c>
      <c r="B15" s="4" t="s">
        <v>36</v>
      </c>
      <c r="C15" s="4" t="s">
        <v>37</v>
      </c>
    </row>
    <row r="16" ht="36" customHeight="1" spans="1:3">
      <c r="A16" s="4" t="s">
        <v>38</v>
      </c>
      <c r="B16" s="4" t="s">
        <v>39</v>
      </c>
      <c r="C16" s="4" t="s">
        <v>40</v>
      </c>
    </row>
    <row r="18" ht="22" customHeight="1" spans="1:1">
      <c r="A18" s="9" t="s">
        <v>41</v>
      </c>
    </row>
    <row r="19" spans="1:1">
      <c r="A19" s="42" t="s">
        <v>42</v>
      </c>
    </row>
  </sheetData>
  <mergeCells count="4">
    <mergeCell ref="A1:J1"/>
    <mergeCell ref="A2:J2"/>
    <mergeCell ref="A18:J18"/>
    <mergeCell ref="A19:J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opLeftCell="A24" workbookViewId="0">
      <selection activeCell="A44" sqref="A44"/>
    </sheetView>
  </sheetViews>
  <sheetFormatPr defaultColWidth="9" defaultRowHeight="14" outlineLevelCol="6"/>
  <cols>
    <col min="1" max="1" width="36" customWidth="1"/>
    <col min="2" max="4" width="16" customWidth="1"/>
    <col min="5" max="6" width="18" customWidth="1"/>
    <col min="7" max="7" width="58" customWidth="1"/>
  </cols>
  <sheetData>
    <row r="1" ht="30" customHeight="1" spans="1:7">
      <c r="A1" s="1" t="s">
        <v>5</v>
      </c>
    </row>
    <row r="2" ht="30" customHeight="1" spans="1:7">
      <c r="A2" s="2" t="s">
        <v>43</v>
      </c>
    </row>
    <row r="4" spans="1:7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spans="1:7">
      <c r="A5" s="4" t="s">
        <v>51</v>
      </c>
      <c r="B5" s="34"/>
      <c r="C5" s="34" t="s">
        <v>46</v>
      </c>
      <c r="D5" s="34"/>
      <c r="E5" s="35" t="str">
        <f>$C$5</f>
        <v>Base</v>
      </c>
      <c r="F5" s="4" t="s">
        <v>52</v>
      </c>
      <c r="G5" s="4" t="s">
        <v>53</v>
      </c>
    </row>
    <row r="6" spans="1:7">
      <c r="A6" s="4" t="s">
        <v>54</v>
      </c>
      <c r="B6" s="34">
        <v>5000</v>
      </c>
      <c r="C6" s="34">
        <v>10000</v>
      </c>
      <c r="D6" s="34">
        <v>20000</v>
      </c>
      <c r="E6" s="35">
        <f t="shared" ref="E6:E50" si="0">INDEX(B6:D6,1,MATCH($C$5,$B$4:$D$4,0))</f>
        <v>10000</v>
      </c>
      <c r="F6" s="4" t="s">
        <v>55</v>
      </c>
      <c r="G6" s="4" t="s">
        <v>56</v>
      </c>
    </row>
    <row r="7" spans="1:7">
      <c r="A7" s="4" t="s">
        <v>57</v>
      </c>
      <c r="B7" s="36">
        <v>150</v>
      </c>
      <c r="C7" s="36">
        <v>350</v>
      </c>
      <c r="D7" s="36">
        <v>750</v>
      </c>
      <c r="E7" s="37">
        <f t="shared" si="0"/>
        <v>350</v>
      </c>
      <c r="F7" s="4" t="s">
        <v>55</v>
      </c>
      <c r="G7" s="4" t="s">
        <v>56</v>
      </c>
    </row>
    <row r="8" spans="1:7">
      <c r="A8" s="4" t="s">
        <v>58</v>
      </c>
      <c r="B8" s="36">
        <v>0.06</v>
      </c>
      <c r="C8" s="36">
        <v>0.1</v>
      </c>
      <c r="D8" s="36">
        <v>0.16</v>
      </c>
      <c r="E8" s="37">
        <f t="shared" si="0"/>
        <v>0.1</v>
      </c>
      <c r="F8" s="4" t="s">
        <v>59</v>
      </c>
      <c r="G8" s="4" t="s">
        <v>60</v>
      </c>
    </row>
    <row r="9" spans="1:7">
      <c r="A9" s="4" t="s">
        <v>61</v>
      </c>
      <c r="B9" s="38">
        <v>0.018</v>
      </c>
      <c r="C9" s="38">
        <v>0.035</v>
      </c>
      <c r="D9" s="38">
        <v>0.06</v>
      </c>
      <c r="E9" s="39">
        <f t="shared" si="0"/>
        <v>0.035</v>
      </c>
      <c r="F9" s="4" t="s">
        <v>59</v>
      </c>
      <c r="G9" s="4" t="s">
        <v>62</v>
      </c>
    </row>
    <row r="10" spans="1:7">
      <c r="A10" s="4" t="s">
        <v>63</v>
      </c>
      <c r="B10" s="38">
        <v>0.055</v>
      </c>
      <c r="C10" s="38">
        <v>0.035</v>
      </c>
      <c r="D10" s="38">
        <v>0.022</v>
      </c>
      <c r="E10" s="39">
        <f t="shared" si="0"/>
        <v>0.035</v>
      </c>
      <c r="F10" s="4" t="s">
        <v>59</v>
      </c>
      <c r="G10" s="4" t="s">
        <v>64</v>
      </c>
    </row>
    <row r="11" spans="1:7">
      <c r="A11" s="4" t="s">
        <v>65</v>
      </c>
      <c r="B11" s="38">
        <v>1800</v>
      </c>
      <c r="C11" s="38">
        <v>2800</v>
      </c>
      <c r="D11" s="38">
        <v>4200</v>
      </c>
      <c r="E11" s="39">
        <f t="shared" si="0"/>
        <v>2800</v>
      </c>
      <c r="F11" s="4" t="s">
        <v>66</v>
      </c>
      <c r="G11" s="4" t="s">
        <v>67</v>
      </c>
    </row>
    <row r="12" spans="1:7">
      <c r="A12" s="4" t="s">
        <v>68</v>
      </c>
      <c r="B12" s="38">
        <v>100</v>
      </c>
      <c r="C12" s="38">
        <v>250</v>
      </c>
      <c r="D12" s="38">
        <v>550</v>
      </c>
      <c r="E12" s="39">
        <f t="shared" si="0"/>
        <v>250</v>
      </c>
      <c r="F12" s="4" t="s">
        <v>66</v>
      </c>
      <c r="G12" s="4" t="s">
        <v>69</v>
      </c>
    </row>
    <row r="13" spans="1:7">
      <c r="A13" s="4" t="s">
        <v>70</v>
      </c>
      <c r="B13" s="40">
        <v>8</v>
      </c>
      <c r="C13" s="40">
        <v>20</v>
      </c>
      <c r="D13" s="40">
        <v>45</v>
      </c>
      <c r="E13" s="41">
        <f t="shared" si="0"/>
        <v>20</v>
      </c>
      <c r="F13" s="4" t="s">
        <v>71</v>
      </c>
      <c r="G13" s="4" t="s">
        <v>72</v>
      </c>
    </row>
    <row r="14" spans="1:7">
      <c r="A14" s="4" t="s">
        <v>73</v>
      </c>
      <c r="B14" s="40">
        <v>0.04</v>
      </c>
      <c r="C14" s="40">
        <v>0.09</v>
      </c>
      <c r="D14" s="40">
        <v>0.15</v>
      </c>
      <c r="E14" s="41">
        <f t="shared" si="0"/>
        <v>0.09</v>
      </c>
      <c r="F14" s="4" t="s">
        <v>59</v>
      </c>
      <c r="G14" s="4" t="s">
        <v>74</v>
      </c>
    </row>
    <row r="15" spans="1:7">
      <c r="A15" s="4" t="s">
        <v>75</v>
      </c>
      <c r="B15" s="36">
        <v>60</v>
      </c>
      <c r="C15" s="36">
        <v>150</v>
      </c>
      <c r="D15" s="36">
        <v>300</v>
      </c>
      <c r="E15" s="37">
        <f t="shared" si="0"/>
        <v>150</v>
      </c>
      <c r="F15" s="4" t="s">
        <v>76</v>
      </c>
      <c r="G15" s="4" t="s">
        <v>77</v>
      </c>
    </row>
    <row r="16" spans="1:7">
      <c r="A16" s="4" t="s">
        <v>78</v>
      </c>
      <c r="B16" s="36">
        <v>2000</v>
      </c>
      <c r="C16" s="36">
        <v>3500</v>
      </c>
      <c r="D16" s="36">
        <v>5000</v>
      </c>
      <c r="E16" s="37">
        <f t="shared" si="0"/>
        <v>3500</v>
      </c>
      <c r="F16" s="4" t="s">
        <v>79</v>
      </c>
      <c r="G16" s="4" t="s">
        <v>80</v>
      </c>
    </row>
    <row r="17" spans="1:7">
      <c r="A17" s="4" t="s">
        <v>81</v>
      </c>
      <c r="B17" s="36">
        <v>0.1</v>
      </c>
      <c r="C17" s="36">
        <v>0.12</v>
      </c>
      <c r="D17" s="36">
        <v>0.15</v>
      </c>
      <c r="E17" s="37">
        <f t="shared" si="0"/>
        <v>0.12</v>
      </c>
      <c r="F17" s="4" t="s">
        <v>59</v>
      </c>
      <c r="G17" s="4" t="s">
        <v>82</v>
      </c>
    </row>
    <row r="18" spans="1:7">
      <c r="A18" s="4" t="s">
        <v>83</v>
      </c>
      <c r="B18" s="38">
        <v>80</v>
      </c>
      <c r="C18" s="38">
        <v>250</v>
      </c>
      <c r="D18" s="38">
        <v>650</v>
      </c>
      <c r="E18" s="39">
        <f t="shared" si="0"/>
        <v>250</v>
      </c>
      <c r="F18" s="4" t="s">
        <v>84</v>
      </c>
      <c r="G18" s="4" t="s">
        <v>85</v>
      </c>
    </row>
    <row r="19" spans="1:7">
      <c r="A19" s="4" t="s">
        <v>86</v>
      </c>
      <c r="B19" s="38">
        <v>0.05</v>
      </c>
      <c r="C19" s="38">
        <v>0.1</v>
      </c>
      <c r="D19" s="38">
        <v>0.18</v>
      </c>
      <c r="E19" s="39">
        <f t="shared" si="0"/>
        <v>0.1</v>
      </c>
      <c r="F19" s="4" t="s">
        <v>59</v>
      </c>
      <c r="G19" s="4" t="s">
        <v>87</v>
      </c>
    </row>
    <row r="20" spans="1:7">
      <c r="A20" s="4" t="s">
        <v>88</v>
      </c>
      <c r="B20" s="38">
        <v>1200</v>
      </c>
      <c r="C20" s="38">
        <v>2000</v>
      </c>
      <c r="D20" s="38">
        <v>3200</v>
      </c>
      <c r="E20" s="39">
        <f t="shared" si="0"/>
        <v>2000</v>
      </c>
      <c r="F20" s="4" t="s">
        <v>79</v>
      </c>
      <c r="G20" s="4" t="s">
        <v>89</v>
      </c>
    </row>
    <row r="21" spans="1:7">
      <c r="A21" s="4" t="s">
        <v>90</v>
      </c>
      <c r="B21" s="40">
        <v>0.3</v>
      </c>
      <c r="C21" s="40">
        <v>0.4</v>
      </c>
      <c r="D21" s="40">
        <v>0.5</v>
      </c>
      <c r="E21" s="41">
        <f t="shared" si="0"/>
        <v>0.4</v>
      </c>
      <c r="F21" s="4" t="s">
        <v>59</v>
      </c>
      <c r="G21" s="4" t="s">
        <v>91</v>
      </c>
    </row>
    <row r="22" spans="1:7">
      <c r="A22" s="4" t="s">
        <v>92</v>
      </c>
      <c r="B22" s="40">
        <v>250000</v>
      </c>
      <c r="C22" s="40">
        <v>750000</v>
      </c>
      <c r="D22" s="40">
        <v>2000000</v>
      </c>
      <c r="E22" s="41">
        <f t="shared" si="0"/>
        <v>750000</v>
      </c>
      <c r="F22" s="4" t="s">
        <v>79</v>
      </c>
      <c r="G22" s="4" t="s">
        <v>93</v>
      </c>
    </row>
    <row r="23" spans="1:7">
      <c r="A23" s="4" t="s">
        <v>94</v>
      </c>
      <c r="B23" s="38">
        <v>0.03</v>
      </c>
      <c r="C23" s="38">
        <v>0.08</v>
      </c>
      <c r="D23" s="38">
        <v>0.14</v>
      </c>
      <c r="E23" s="39">
        <f t="shared" si="0"/>
        <v>0.08</v>
      </c>
      <c r="F23" s="4" t="s">
        <v>59</v>
      </c>
      <c r="G23" s="4" t="s">
        <v>95</v>
      </c>
    </row>
    <row r="24" spans="1:7">
      <c r="A24" s="4" t="s">
        <v>96</v>
      </c>
      <c r="B24" s="40">
        <v>0.03</v>
      </c>
      <c r="C24" s="40">
        <v>0.04</v>
      </c>
      <c r="D24" s="40">
        <v>0.05</v>
      </c>
      <c r="E24" s="41">
        <f t="shared" si="0"/>
        <v>0.04</v>
      </c>
      <c r="F24" s="4" t="s">
        <v>59</v>
      </c>
      <c r="G24" s="4" t="s">
        <v>97</v>
      </c>
    </row>
    <row r="25" spans="1:7">
      <c r="A25" s="4" t="s">
        <v>98</v>
      </c>
      <c r="B25" s="40">
        <v>1</v>
      </c>
      <c r="C25" s="40">
        <v>3</v>
      </c>
      <c r="D25" s="40">
        <v>6</v>
      </c>
      <c r="E25" s="41">
        <f t="shared" si="0"/>
        <v>3</v>
      </c>
      <c r="F25" s="4" t="s">
        <v>99</v>
      </c>
      <c r="G25" s="4" t="s">
        <v>100</v>
      </c>
    </row>
    <row r="26" spans="1:7">
      <c r="A26" s="4" t="s">
        <v>101</v>
      </c>
      <c r="B26" s="38">
        <v>0.25</v>
      </c>
      <c r="C26" s="38">
        <v>0.75</v>
      </c>
      <c r="D26" s="38">
        <v>1.5</v>
      </c>
      <c r="E26" s="39">
        <f t="shared" si="0"/>
        <v>0.75</v>
      </c>
      <c r="F26" s="4" t="s">
        <v>99</v>
      </c>
      <c r="G26" s="4" t="s">
        <v>102</v>
      </c>
    </row>
    <row r="27" spans="1:7">
      <c r="A27" s="4" t="s">
        <v>103</v>
      </c>
      <c r="B27" s="38">
        <v>150000</v>
      </c>
      <c r="C27" s="38">
        <v>300000</v>
      </c>
      <c r="D27" s="38">
        <v>600000</v>
      </c>
      <c r="E27" s="39">
        <f t="shared" si="0"/>
        <v>300000</v>
      </c>
      <c r="F27" s="4" t="s">
        <v>66</v>
      </c>
      <c r="G27" s="4" t="s">
        <v>104</v>
      </c>
    </row>
    <row r="28" spans="1:7">
      <c r="A28" s="4" t="s">
        <v>105</v>
      </c>
      <c r="B28" s="36">
        <v>0</v>
      </c>
      <c r="C28" s="36">
        <v>1</v>
      </c>
      <c r="D28" s="36">
        <v>3</v>
      </c>
      <c r="E28" s="37">
        <f t="shared" si="0"/>
        <v>1</v>
      </c>
      <c r="F28" s="4" t="s">
        <v>99</v>
      </c>
      <c r="G28" s="4" t="s">
        <v>106</v>
      </c>
    </row>
    <row r="29" spans="1:7">
      <c r="A29" s="4" t="s">
        <v>107</v>
      </c>
      <c r="B29" s="36">
        <v>0.1</v>
      </c>
      <c r="C29" s="36">
        <v>0.35</v>
      </c>
      <c r="D29" s="36">
        <v>0.8</v>
      </c>
      <c r="E29" s="37">
        <f t="shared" si="0"/>
        <v>0.35</v>
      </c>
      <c r="F29" s="4" t="s">
        <v>99</v>
      </c>
      <c r="G29" s="4" t="s">
        <v>108</v>
      </c>
    </row>
    <row r="30" spans="1:7">
      <c r="A30" s="4" t="s">
        <v>109</v>
      </c>
      <c r="B30" s="40">
        <v>80000</v>
      </c>
      <c r="C30" s="40">
        <v>180000</v>
      </c>
      <c r="D30" s="40">
        <v>350000</v>
      </c>
      <c r="E30" s="41">
        <f t="shared" si="0"/>
        <v>180000</v>
      </c>
      <c r="F30" s="4" t="s">
        <v>66</v>
      </c>
      <c r="G30" s="4" t="s">
        <v>110</v>
      </c>
    </row>
    <row r="31" spans="1:7">
      <c r="A31" s="4" t="s">
        <v>111</v>
      </c>
      <c r="B31" s="40">
        <v>0.05</v>
      </c>
      <c r="C31" s="40">
        <v>0.1</v>
      </c>
      <c r="D31" s="40">
        <v>0.18</v>
      </c>
      <c r="E31" s="41">
        <f t="shared" si="0"/>
        <v>0.1</v>
      </c>
      <c r="F31" s="4" t="s">
        <v>59</v>
      </c>
      <c r="G31" s="4" t="s">
        <v>112</v>
      </c>
    </row>
    <row r="32" spans="1:7">
      <c r="A32" s="4" t="s">
        <v>113</v>
      </c>
      <c r="B32" s="36">
        <v>0.1</v>
      </c>
      <c r="C32" s="36">
        <v>0.15</v>
      </c>
      <c r="D32" s="36">
        <v>0.2</v>
      </c>
      <c r="E32" s="37">
        <f t="shared" si="0"/>
        <v>0.15</v>
      </c>
      <c r="F32" s="4" t="s">
        <v>59</v>
      </c>
      <c r="G32" s="4" t="s">
        <v>114</v>
      </c>
    </row>
    <row r="33" spans="1:7">
      <c r="A33" s="4" t="s">
        <v>115</v>
      </c>
      <c r="B33" s="36">
        <v>750000</v>
      </c>
      <c r="C33" s="36">
        <v>1500000</v>
      </c>
      <c r="D33" s="36">
        <v>3500000</v>
      </c>
      <c r="E33" s="37">
        <f t="shared" si="0"/>
        <v>1500000</v>
      </c>
      <c r="F33" s="4" t="s">
        <v>79</v>
      </c>
      <c r="G33" s="4" t="s">
        <v>116</v>
      </c>
    </row>
    <row r="34" spans="1:7">
      <c r="A34" s="4" t="s">
        <v>117</v>
      </c>
      <c r="B34" s="40">
        <v>1000000</v>
      </c>
      <c r="C34" s="40">
        <v>1800000</v>
      </c>
      <c r="D34" s="40">
        <v>3500000</v>
      </c>
      <c r="E34" s="41">
        <f t="shared" si="0"/>
        <v>1800000</v>
      </c>
      <c r="F34" s="4" t="s">
        <v>66</v>
      </c>
      <c r="G34" s="4" t="s">
        <v>118</v>
      </c>
    </row>
    <row r="35" spans="1:7">
      <c r="A35" s="4" t="s">
        <v>119</v>
      </c>
      <c r="B35" s="40">
        <v>800000</v>
      </c>
      <c r="C35" s="40">
        <v>1500000</v>
      </c>
      <c r="D35" s="40">
        <v>3000000</v>
      </c>
      <c r="E35" s="41">
        <f t="shared" si="0"/>
        <v>1500000</v>
      </c>
      <c r="F35" s="4" t="s">
        <v>66</v>
      </c>
      <c r="G35" s="4" t="s">
        <v>120</v>
      </c>
    </row>
    <row r="36" spans="1:7">
      <c r="A36" s="4" t="s">
        <v>121</v>
      </c>
      <c r="B36" s="38">
        <v>700000</v>
      </c>
      <c r="C36" s="38">
        <v>1200000</v>
      </c>
      <c r="D36" s="38">
        <v>2200000</v>
      </c>
      <c r="E36" s="39">
        <f t="shared" si="0"/>
        <v>1200000</v>
      </c>
      <c r="F36" s="4" t="s">
        <v>66</v>
      </c>
      <c r="G36" s="4" t="s">
        <v>122</v>
      </c>
    </row>
    <row r="37" spans="1:7">
      <c r="A37" s="4" t="s">
        <v>123</v>
      </c>
      <c r="B37" s="38">
        <v>500000</v>
      </c>
      <c r="C37" s="38">
        <v>900000</v>
      </c>
      <c r="D37" s="38">
        <v>1800000</v>
      </c>
      <c r="E37" s="39">
        <f t="shared" si="0"/>
        <v>900000</v>
      </c>
      <c r="F37" s="4" t="s">
        <v>66</v>
      </c>
      <c r="G37" s="4" t="s">
        <v>124</v>
      </c>
    </row>
    <row r="38" spans="1:7">
      <c r="A38" s="4" t="s">
        <v>125</v>
      </c>
      <c r="B38" s="38">
        <v>800000</v>
      </c>
      <c r="C38" s="38">
        <v>1400000</v>
      </c>
      <c r="D38" s="38">
        <v>2600000</v>
      </c>
      <c r="E38" s="39">
        <f t="shared" si="0"/>
        <v>1400000</v>
      </c>
      <c r="F38" s="4" t="s">
        <v>66</v>
      </c>
      <c r="G38" s="4" t="s">
        <v>126</v>
      </c>
    </row>
    <row r="39" spans="1:7">
      <c r="A39" s="4" t="s">
        <v>127</v>
      </c>
      <c r="B39" s="38">
        <v>0.18</v>
      </c>
      <c r="C39" s="38">
        <v>0.15</v>
      </c>
      <c r="D39" s="38">
        <v>0.12</v>
      </c>
      <c r="E39" s="39">
        <f t="shared" si="0"/>
        <v>0.15</v>
      </c>
      <c r="F39" s="4" t="s">
        <v>59</v>
      </c>
      <c r="G39" s="4" t="s">
        <v>128</v>
      </c>
    </row>
    <row r="40" spans="1:7">
      <c r="A40" s="4" t="s">
        <v>129</v>
      </c>
      <c r="B40" s="38">
        <v>0.38</v>
      </c>
      <c r="C40" s="38">
        <v>0.32</v>
      </c>
      <c r="D40" s="38">
        <v>0.26</v>
      </c>
      <c r="E40" s="39">
        <f t="shared" si="0"/>
        <v>0.32</v>
      </c>
      <c r="F40" s="4" t="s">
        <v>59</v>
      </c>
      <c r="G40" s="4" t="s">
        <v>130</v>
      </c>
    </row>
    <row r="41" spans="1:7">
      <c r="A41" s="4" t="s">
        <v>131</v>
      </c>
      <c r="B41" s="38">
        <v>0.22</v>
      </c>
      <c r="C41" s="38">
        <v>0.18</v>
      </c>
      <c r="D41" s="38">
        <v>0.14</v>
      </c>
      <c r="E41" s="39">
        <f t="shared" si="0"/>
        <v>0.18</v>
      </c>
      <c r="F41" s="4" t="s">
        <v>59</v>
      </c>
      <c r="G41" s="4" t="s">
        <v>132</v>
      </c>
    </row>
    <row r="42" spans="1:7">
      <c r="A42" s="4" t="s">
        <v>133</v>
      </c>
      <c r="B42" s="38">
        <v>0.08</v>
      </c>
      <c r="C42" s="38">
        <v>0.06</v>
      </c>
      <c r="D42" s="38">
        <v>0.05</v>
      </c>
      <c r="E42" s="39">
        <f t="shared" si="0"/>
        <v>0.06</v>
      </c>
      <c r="F42" s="4" t="s">
        <v>59</v>
      </c>
      <c r="G42" s="4" t="s">
        <v>134</v>
      </c>
    </row>
    <row r="43" spans="1:7">
      <c r="A43" s="4" t="s">
        <v>135</v>
      </c>
      <c r="B43" s="38">
        <v>0.28</v>
      </c>
      <c r="C43" s="38">
        <v>0.22</v>
      </c>
      <c r="D43" s="38">
        <v>0.18</v>
      </c>
      <c r="E43" s="39">
        <f t="shared" si="0"/>
        <v>0.22</v>
      </c>
      <c r="F43" s="4" t="s">
        <v>59</v>
      </c>
      <c r="G43" s="4" t="s">
        <v>136</v>
      </c>
    </row>
    <row r="44" spans="1:7">
      <c r="A44" s="4" t="s">
        <v>137</v>
      </c>
      <c r="B44" s="38">
        <v>0.45</v>
      </c>
      <c r="C44" s="38">
        <v>0.38</v>
      </c>
      <c r="D44" s="38">
        <v>0.32</v>
      </c>
      <c r="E44" s="39">
        <f t="shared" si="0"/>
        <v>0.38</v>
      </c>
      <c r="F44" s="4" t="s">
        <v>59</v>
      </c>
      <c r="G44" s="4" t="s">
        <v>138</v>
      </c>
    </row>
    <row r="45" spans="1:7">
      <c r="A45" s="4" t="s">
        <v>139</v>
      </c>
      <c r="B45" s="38">
        <v>0.018</v>
      </c>
      <c r="C45" s="38">
        <v>0.015</v>
      </c>
      <c r="D45" s="38">
        <v>0.013</v>
      </c>
      <c r="E45" s="39">
        <f t="shared" si="0"/>
        <v>0.015</v>
      </c>
      <c r="F45" s="4" t="s">
        <v>59</v>
      </c>
      <c r="G45" s="4" t="s">
        <v>140</v>
      </c>
    </row>
    <row r="46" spans="1:7">
      <c r="A46" s="4" t="s">
        <v>141</v>
      </c>
      <c r="B46" s="38">
        <v>80</v>
      </c>
      <c r="C46" s="38">
        <v>110</v>
      </c>
      <c r="D46" s="38">
        <v>150</v>
      </c>
      <c r="E46" s="39">
        <f t="shared" si="0"/>
        <v>110</v>
      </c>
      <c r="F46" s="4" t="s">
        <v>66</v>
      </c>
      <c r="G46" s="4" t="s">
        <v>142</v>
      </c>
    </row>
    <row r="47" spans="1:7">
      <c r="A47" s="4" t="s">
        <v>143</v>
      </c>
      <c r="B47" s="38">
        <v>2000</v>
      </c>
      <c r="C47" s="38">
        <v>3500</v>
      </c>
      <c r="D47" s="38">
        <v>6000</v>
      </c>
      <c r="E47" s="39">
        <f t="shared" si="0"/>
        <v>3500</v>
      </c>
      <c r="F47" s="4" t="s">
        <v>144</v>
      </c>
      <c r="G47" s="4" t="s">
        <v>145</v>
      </c>
    </row>
    <row r="48" spans="1:7">
      <c r="A48" s="4" t="s">
        <v>146</v>
      </c>
      <c r="B48" s="40">
        <v>25</v>
      </c>
      <c r="C48" s="40">
        <v>40</v>
      </c>
      <c r="D48" s="40">
        <v>65</v>
      </c>
      <c r="E48" s="41">
        <f t="shared" si="0"/>
        <v>40</v>
      </c>
      <c r="F48" s="4" t="s">
        <v>147</v>
      </c>
      <c r="G48" s="4" t="s">
        <v>148</v>
      </c>
    </row>
    <row r="49" spans="1:7">
      <c r="A49" s="4" t="s">
        <v>149</v>
      </c>
      <c r="B49" s="40">
        <v>5000000</v>
      </c>
      <c r="C49" s="40">
        <v>10000000</v>
      </c>
      <c r="D49" s="40">
        <v>25000000</v>
      </c>
      <c r="E49" s="41">
        <f t="shared" si="0"/>
        <v>10000000</v>
      </c>
      <c r="F49" s="4" t="s">
        <v>79</v>
      </c>
      <c r="G49" s="4" t="s">
        <v>150</v>
      </c>
    </row>
    <row r="50" spans="1:7">
      <c r="A50" s="4"/>
      <c r="B50" s="40"/>
      <c r="C50" s="40"/>
      <c r="D50" s="40"/>
      <c r="E50" s="41">
        <f t="shared" si="0"/>
        <v>0</v>
      </c>
      <c r="F50" s="4"/>
      <c r="G50" s="4"/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workbookViewId="0">
      <selection activeCell="A1" sqref="A1:AK1"/>
    </sheetView>
  </sheetViews>
  <sheetFormatPr defaultColWidth="9" defaultRowHeight="14"/>
  <cols>
    <col min="1" max="1" width="34" customWidth="1"/>
    <col min="2" max="37" width="13" customWidth="1"/>
  </cols>
  <sheetData>
    <row r="1" ht="30" customHeight="1" spans="1:37">
      <c r="A1" s="1" t="s">
        <v>8</v>
      </c>
    </row>
    <row r="2" ht="30" customHeight="1" spans="1:37">
      <c r="A2" s="2" t="s">
        <v>151</v>
      </c>
    </row>
    <row r="5" spans="1:37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166</v>
      </c>
      <c r="P5" s="3" t="s">
        <v>167</v>
      </c>
      <c r="Q5" s="3" t="s">
        <v>168</v>
      </c>
      <c r="R5" s="3" t="s">
        <v>169</v>
      </c>
      <c r="S5" s="3" t="s">
        <v>170</v>
      </c>
      <c r="T5" s="3" t="s">
        <v>171</v>
      </c>
      <c r="U5" s="3" t="s">
        <v>172</v>
      </c>
      <c r="V5" s="3" t="s">
        <v>173</v>
      </c>
      <c r="W5" s="3" t="s">
        <v>174</v>
      </c>
      <c r="X5" s="3" t="s">
        <v>175</v>
      </c>
      <c r="Y5" s="3" t="s">
        <v>176</v>
      </c>
      <c r="Z5" s="3" t="s">
        <v>177</v>
      </c>
      <c r="AA5" s="3" t="s">
        <v>178</v>
      </c>
      <c r="AB5" s="3" t="s">
        <v>179</v>
      </c>
      <c r="AC5" s="3" t="s">
        <v>180</v>
      </c>
      <c r="AD5" s="3" t="s">
        <v>181</v>
      </c>
      <c r="AE5" s="3" t="s">
        <v>182</v>
      </c>
      <c r="AF5" s="3" t="s">
        <v>183</v>
      </c>
      <c r="AG5" s="3" t="s">
        <v>184</v>
      </c>
      <c r="AH5" s="3" t="s">
        <v>185</v>
      </c>
      <c r="AI5" s="3" t="s">
        <v>186</v>
      </c>
      <c r="AJ5" s="3" t="s">
        <v>187</v>
      </c>
      <c r="AK5" s="3" t="s">
        <v>188</v>
      </c>
    </row>
    <row r="6" spans="1:37">
      <c r="A6" s="24" t="s">
        <v>189</v>
      </c>
      <c r="B6" s="5">
        <f>'01 Assumptions'!$E$6</f>
        <v>10000</v>
      </c>
      <c r="C6" s="5">
        <f t="shared" ref="C6:AK6" si="0">B9</f>
        <v>10650</v>
      </c>
      <c r="D6" s="5">
        <f t="shared" si="0"/>
        <v>11342.25</v>
      </c>
      <c r="E6" s="5">
        <f t="shared" si="0"/>
        <v>12079.49625</v>
      </c>
      <c r="F6" s="5">
        <f t="shared" si="0"/>
        <v>12864.66350625</v>
      </c>
      <c r="G6" s="5">
        <f t="shared" si="0"/>
        <v>13700.8666341562</v>
      </c>
      <c r="H6" s="5">
        <f t="shared" si="0"/>
        <v>14591.4229653764</v>
      </c>
      <c r="I6" s="5">
        <f t="shared" si="0"/>
        <v>15539.8654581259</v>
      </c>
      <c r="J6" s="5">
        <f t="shared" si="0"/>
        <v>16549.9567129041</v>
      </c>
      <c r="K6" s="5">
        <f t="shared" si="0"/>
        <v>17625.7038992428</v>
      </c>
      <c r="L6" s="5">
        <f t="shared" si="0"/>
        <v>18771.3746526936</v>
      </c>
      <c r="M6" s="5">
        <f t="shared" si="0"/>
        <v>19991.5140051187</v>
      </c>
      <c r="N6" s="5">
        <f t="shared" si="0"/>
        <v>21290.9624154514</v>
      </c>
      <c r="O6" s="5">
        <f t="shared" si="0"/>
        <v>22674.8749724557</v>
      </c>
      <c r="P6" s="5">
        <f t="shared" si="0"/>
        <v>24148.7418456654</v>
      </c>
      <c r="Q6" s="5">
        <f t="shared" si="0"/>
        <v>25718.4100656336</v>
      </c>
      <c r="R6" s="5">
        <f t="shared" si="0"/>
        <v>27390.1067198998</v>
      </c>
      <c r="S6" s="5">
        <f t="shared" si="0"/>
        <v>29170.4636566933</v>
      </c>
      <c r="T6" s="5">
        <f t="shared" si="0"/>
        <v>31066.5437943783</v>
      </c>
      <c r="U6" s="5">
        <f t="shared" si="0"/>
        <v>33085.8691410129</v>
      </c>
      <c r="V6" s="5">
        <f t="shared" si="0"/>
        <v>35236.4506351788</v>
      </c>
      <c r="W6" s="5">
        <f t="shared" si="0"/>
        <v>37526.8199264654</v>
      </c>
      <c r="X6" s="5">
        <f t="shared" si="0"/>
        <v>39966.0632216856</v>
      </c>
      <c r="Y6" s="5">
        <f t="shared" si="0"/>
        <v>42563.8573310952</v>
      </c>
      <c r="Z6" s="5">
        <f t="shared" si="0"/>
        <v>45330.5080576164</v>
      </c>
      <c r="AA6" s="5">
        <f t="shared" si="0"/>
        <v>48276.9910813615</v>
      </c>
      <c r="AB6" s="5">
        <f t="shared" si="0"/>
        <v>51414.99550165</v>
      </c>
      <c r="AC6" s="5">
        <f t="shared" si="0"/>
        <v>54756.9702092572</v>
      </c>
      <c r="AD6" s="5">
        <f t="shared" si="0"/>
        <v>58316.1732728589</v>
      </c>
      <c r="AE6" s="5">
        <f t="shared" si="0"/>
        <v>62106.7245355948</v>
      </c>
      <c r="AF6" s="5">
        <f t="shared" si="0"/>
        <v>66143.6616304084</v>
      </c>
      <c r="AG6" s="5">
        <f t="shared" si="0"/>
        <v>70442.999636385</v>
      </c>
      <c r="AH6" s="5">
        <f t="shared" si="0"/>
        <v>75021.79461275</v>
      </c>
      <c r="AI6" s="5">
        <f t="shared" si="0"/>
        <v>79898.2112625787</v>
      </c>
      <c r="AJ6" s="5">
        <f t="shared" si="0"/>
        <v>85091.5949946463</v>
      </c>
      <c r="AK6" s="5">
        <f t="shared" si="0"/>
        <v>90622.5486692983</v>
      </c>
    </row>
    <row r="7" spans="1:37">
      <c r="A7" s="24" t="s">
        <v>190</v>
      </c>
      <c r="B7" s="5">
        <f>B6*'01 Assumptions'!$E$8</f>
        <v>1000</v>
      </c>
      <c r="C7" s="5">
        <f>C6*'01 Assumptions'!$E$8</f>
        <v>1065</v>
      </c>
      <c r="D7" s="5">
        <f>D6*'01 Assumptions'!$E$8</f>
        <v>1134.225</v>
      </c>
      <c r="E7" s="5">
        <f>E6*'01 Assumptions'!$E$8</f>
        <v>1207.949625</v>
      </c>
      <c r="F7" s="5">
        <f>F6*'01 Assumptions'!$E$8</f>
        <v>1286.466350625</v>
      </c>
      <c r="G7" s="5">
        <f>G6*'01 Assumptions'!$E$8</f>
        <v>1370.08666341563</v>
      </c>
      <c r="H7" s="5">
        <f>H6*'01 Assumptions'!$E$8</f>
        <v>1459.14229653764</v>
      </c>
      <c r="I7" s="5">
        <f>I6*'01 Assumptions'!$E$8</f>
        <v>1553.98654581259</v>
      </c>
      <c r="J7" s="5">
        <f>J6*'01 Assumptions'!$E$8</f>
        <v>1654.99567129041</v>
      </c>
      <c r="K7" s="5">
        <f>K6*'01 Assumptions'!$E$8</f>
        <v>1762.57038992428</v>
      </c>
      <c r="L7" s="5">
        <f>L6*'01 Assumptions'!$E$8</f>
        <v>1877.13746526936</v>
      </c>
      <c r="M7" s="5">
        <f>M6*'01 Assumptions'!$E$8</f>
        <v>1999.15140051187</v>
      </c>
      <c r="N7" s="5">
        <f>N6*'01 Assumptions'!$E$8</f>
        <v>2129.09624154514</v>
      </c>
      <c r="O7" s="5">
        <f>O6*'01 Assumptions'!$E$8</f>
        <v>2267.48749724557</v>
      </c>
      <c r="P7" s="5">
        <f>P6*'01 Assumptions'!$E$8</f>
        <v>2414.87418456654</v>
      </c>
      <c r="Q7" s="5">
        <f>Q6*'01 Assumptions'!$E$8</f>
        <v>2571.84100656336</v>
      </c>
      <c r="R7" s="5">
        <f>R6*'01 Assumptions'!$E$8</f>
        <v>2739.01067198998</v>
      </c>
      <c r="S7" s="5">
        <f>S6*'01 Assumptions'!$E$8</f>
        <v>2917.04636566933</v>
      </c>
      <c r="T7" s="5">
        <f>T6*'01 Assumptions'!$E$8</f>
        <v>3106.65437943783</v>
      </c>
      <c r="U7" s="5">
        <f>U6*'01 Assumptions'!$E$8</f>
        <v>3308.58691410129</v>
      </c>
      <c r="V7" s="5">
        <f>V6*'01 Assumptions'!$E$8</f>
        <v>3523.64506351788</v>
      </c>
      <c r="W7" s="5">
        <f>W6*'01 Assumptions'!$E$8</f>
        <v>3752.68199264654</v>
      </c>
      <c r="X7" s="5">
        <f>X6*'01 Assumptions'!$E$8</f>
        <v>3996.60632216856</v>
      </c>
      <c r="Y7" s="5">
        <f>Y6*'01 Assumptions'!$E$8</f>
        <v>4256.38573310952</v>
      </c>
      <c r="Z7" s="5">
        <f>Z6*'01 Assumptions'!$E$8</f>
        <v>4533.05080576164</v>
      </c>
      <c r="AA7" s="5">
        <f>AA6*'01 Assumptions'!$E$8</f>
        <v>4827.69910813615</v>
      </c>
      <c r="AB7" s="5">
        <f>AB6*'01 Assumptions'!$E$8</f>
        <v>5141.499550165</v>
      </c>
      <c r="AC7" s="5">
        <f>AC6*'01 Assumptions'!$E$8</f>
        <v>5475.69702092572</v>
      </c>
      <c r="AD7" s="5">
        <f>AD6*'01 Assumptions'!$E$8</f>
        <v>5831.61732728589</v>
      </c>
      <c r="AE7" s="5">
        <f>AE6*'01 Assumptions'!$E$8</f>
        <v>6210.67245355948</v>
      </c>
      <c r="AF7" s="5">
        <f>AF6*'01 Assumptions'!$E$8</f>
        <v>6614.36616304084</v>
      </c>
      <c r="AG7" s="5">
        <f>AG6*'01 Assumptions'!$E$8</f>
        <v>7044.2999636385</v>
      </c>
      <c r="AH7" s="5">
        <f>AH6*'01 Assumptions'!$E$8</f>
        <v>7502.179461275</v>
      </c>
      <c r="AI7" s="5">
        <f>AI6*'01 Assumptions'!$E$8</f>
        <v>7989.82112625787</v>
      </c>
      <c r="AJ7" s="5">
        <f>AJ6*'01 Assumptions'!$E$8</f>
        <v>8509.15949946463</v>
      </c>
      <c r="AK7" s="5">
        <f>AK6*'01 Assumptions'!$E$8</f>
        <v>9062.25486692983</v>
      </c>
    </row>
    <row r="8" spans="1:37">
      <c r="A8" s="24" t="s">
        <v>191</v>
      </c>
      <c r="B8" s="5">
        <f>B6*'01 Assumptions'!$E$9</f>
        <v>350</v>
      </c>
      <c r="C8" s="5">
        <f>C6*'01 Assumptions'!$E$9</f>
        <v>372.75</v>
      </c>
      <c r="D8" s="5">
        <f>D6*'01 Assumptions'!$E$9</f>
        <v>396.97875</v>
      </c>
      <c r="E8" s="5">
        <f>E6*'01 Assumptions'!$E$9</f>
        <v>422.78236875</v>
      </c>
      <c r="F8" s="5">
        <f>F6*'01 Assumptions'!$E$9</f>
        <v>450.26322271875</v>
      </c>
      <c r="G8" s="5">
        <f>G6*'01 Assumptions'!$E$9</f>
        <v>479.530332195469</v>
      </c>
      <c r="H8" s="5">
        <f>H6*'01 Assumptions'!$E$9</f>
        <v>510.699803788174</v>
      </c>
      <c r="I8" s="5">
        <f>I6*'01 Assumptions'!$E$9</f>
        <v>543.895291034406</v>
      </c>
      <c r="J8" s="5">
        <f>J6*'01 Assumptions'!$E$9</f>
        <v>579.248484951642</v>
      </c>
      <c r="K8" s="5">
        <f>K6*'01 Assumptions'!$E$9</f>
        <v>616.899636473499</v>
      </c>
      <c r="L8" s="5">
        <f>L6*'01 Assumptions'!$E$9</f>
        <v>656.998112844276</v>
      </c>
      <c r="M8" s="5">
        <f>M6*'01 Assumptions'!$E$9</f>
        <v>699.702990179154</v>
      </c>
      <c r="N8" s="5">
        <f>N6*'01 Assumptions'!$E$9</f>
        <v>745.183684540799</v>
      </c>
      <c r="O8" s="5">
        <f>O6*'01 Assumptions'!$E$9</f>
        <v>793.620624035951</v>
      </c>
      <c r="P8" s="5">
        <f>P6*'01 Assumptions'!$E$9</f>
        <v>845.205964598288</v>
      </c>
      <c r="Q8" s="5">
        <f>Q6*'01 Assumptions'!$E$9</f>
        <v>900.144352297176</v>
      </c>
      <c r="R8" s="5">
        <f>R6*'01 Assumptions'!$E$9</f>
        <v>958.653735196493</v>
      </c>
      <c r="S8" s="5">
        <f>S6*'01 Assumptions'!$E$9</f>
        <v>1020.96622798426</v>
      </c>
      <c r="T8" s="5">
        <f>T6*'01 Assumptions'!$E$9</f>
        <v>1087.32903280324</v>
      </c>
      <c r="U8" s="5">
        <f>U6*'01 Assumptions'!$E$9</f>
        <v>1158.00541993545</v>
      </c>
      <c r="V8" s="5">
        <f>V6*'01 Assumptions'!$E$9</f>
        <v>1233.27577223126</v>
      </c>
      <c r="W8" s="5">
        <f>W6*'01 Assumptions'!$E$9</f>
        <v>1313.43869742629</v>
      </c>
      <c r="X8" s="5">
        <f>X6*'01 Assumptions'!$E$9</f>
        <v>1398.812212759</v>
      </c>
      <c r="Y8" s="5">
        <f>Y6*'01 Assumptions'!$E$9</f>
        <v>1489.73500658833</v>
      </c>
      <c r="Z8" s="5">
        <f>Z6*'01 Assumptions'!$E$9</f>
        <v>1586.56778201657</v>
      </c>
      <c r="AA8" s="5">
        <f>AA6*'01 Assumptions'!$E$9</f>
        <v>1689.69468784765</v>
      </c>
      <c r="AB8" s="5">
        <f>AB6*'01 Assumptions'!$E$9</f>
        <v>1799.52484255775</v>
      </c>
      <c r="AC8" s="5">
        <f>AC6*'01 Assumptions'!$E$9</f>
        <v>1916.493957324</v>
      </c>
      <c r="AD8" s="5">
        <f>AD6*'01 Assumptions'!$E$9</f>
        <v>2041.06606455006</v>
      </c>
      <c r="AE8" s="5">
        <f>AE6*'01 Assumptions'!$E$9</f>
        <v>2173.73535874582</v>
      </c>
      <c r="AF8" s="5">
        <f>AF6*'01 Assumptions'!$E$9</f>
        <v>2315.02815706429</v>
      </c>
      <c r="AG8" s="5">
        <f>AG6*'01 Assumptions'!$E$9</f>
        <v>2465.50498727347</v>
      </c>
      <c r="AH8" s="5">
        <f>AH6*'01 Assumptions'!$E$9</f>
        <v>2625.76281144625</v>
      </c>
      <c r="AI8" s="5">
        <f>AI6*'01 Assumptions'!$E$9</f>
        <v>2796.43739419026</v>
      </c>
      <c r="AJ8" s="5">
        <f>AJ6*'01 Assumptions'!$E$9</f>
        <v>2978.20582481262</v>
      </c>
      <c r="AK8" s="5">
        <f>AK6*'01 Assumptions'!$E$9</f>
        <v>3171.78920342544</v>
      </c>
    </row>
    <row r="9" spans="1:37">
      <c r="A9" s="24" t="s">
        <v>192</v>
      </c>
      <c r="B9" s="5">
        <f t="shared" ref="B9:AK9" si="1">MAX(0,B6+B7-B8)</f>
        <v>10650</v>
      </c>
      <c r="C9" s="5">
        <f t="shared" si="1"/>
        <v>11342.25</v>
      </c>
      <c r="D9" s="5">
        <f t="shared" si="1"/>
        <v>12079.49625</v>
      </c>
      <c r="E9" s="5">
        <f t="shared" si="1"/>
        <v>12864.66350625</v>
      </c>
      <c r="F9" s="5">
        <f t="shared" si="1"/>
        <v>13700.8666341562</v>
      </c>
      <c r="G9" s="5">
        <f t="shared" si="1"/>
        <v>14591.4229653764</v>
      </c>
      <c r="H9" s="5">
        <f t="shared" si="1"/>
        <v>15539.8654581259</v>
      </c>
      <c r="I9" s="5">
        <f t="shared" si="1"/>
        <v>16549.9567129041</v>
      </c>
      <c r="J9" s="5">
        <f t="shared" si="1"/>
        <v>17625.7038992428</v>
      </c>
      <c r="K9" s="5">
        <f t="shared" si="1"/>
        <v>18771.3746526936</v>
      </c>
      <c r="L9" s="5">
        <f t="shared" si="1"/>
        <v>19991.5140051187</v>
      </c>
      <c r="M9" s="5">
        <f t="shared" si="1"/>
        <v>21290.9624154514</v>
      </c>
      <c r="N9" s="5">
        <f t="shared" si="1"/>
        <v>22674.8749724557</v>
      </c>
      <c r="O9" s="5">
        <f t="shared" si="1"/>
        <v>24148.7418456654</v>
      </c>
      <c r="P9" s="5">
        <f t="shared" si="1"/>
        <v>25718.4100656336</v>
      </c>
      <c r="Q9" s="5">
        <f t="shared" si="1"/>
        <v>27390.1067198998</v>
      </c>
      <c r="R9" s="5">
        <f t="shared" si="1"/>
        <v>29170.4636566933</v>
      </c>
      <c r="S9" s="5">
        <f t="shared" si="1"/>
        <v>31066.5437943783</v>
      </c>
      <c r="T9" s="5">
        <f t="shared" si="1"/>
        <v>33085.8691410129</v>
      </c>
      <c r="U9" s="5">
        <f t="shared" si="1"/>
        <v>35236.4506351788</v>
      </c>
      <c r="V9" s="5">
        <f t="shared" si="1"/>
        <v>37526.8199264654</v>
      </c>
      <c r="W9" s="5">
        <f t="shared" si="1"/>
        <v>39966.0632216856</v>
      </c>
      <c r="X9" s="5">
        <f t="shared" si="1"/>
        <v>42563.8573310952</v>
      </c>
      <c r="Y9" s="5">
        <f t="shared" si="1"/>
        <v>45330.5080576164</v>
      </c>
      <c r="Z9" s="5">
        <f t="shared" si="1"/>
        <v>48276.9910813615</v>
      </c>
      <c r="AA9" s="5">
        <f t="shared" si="1"/>
        <v>51414.99550165</v>
      </c>
      <c r="AB9" s="5">
        <f t="shared" si="1"/>
        <v>54756.9702092572</v>
      </c>
      <c r="AC9" s="5">
        <f t="shared" si="1"/>
        <v>58316.1732728589</v>
      </c>
      <c r="AD9" s="5">
        <f t="shared" si="1"/>
        <v>62106.7245355948</v>
      </c>
      <c r="AE9" s="5">
        <f t="shared" si="1"/>
        <v>66143.6616304084</v>
      </c>
      <c r="AF9" s="5">
        <f t="shared" si="1"/>
        <v>70442.999636385</v>
      </c>
      <c r="AG9" s="5">
        <f t="shared" si="1"/>
        <v>75021.79461275</v>
      </c>
      <c r="AH9" s="5">
        <f t="shared" si="1"/>
        <v>79898.2112625787</v>
      </c>
      <c r="AI9" s="5">
        <f t="shared" si="1"/>
        <v>85091.5949946463</v>
      </c>
      <c r="AJ9" s="5">
        <f t="shared" si="1"/>
        <v>90622.5486692983</v>
      </c>
      <c r="AK9" s="5">
        <f t="shared" si="1"/>
        <v>96513.0143328027</v>
      </c>
    </row>
    <row r="10" spans="1:37">
      <c r="A10" s="24" t="s">
        <v>193</v>
      </c>
      <c r="B10" s="5">
        <f>'01 Assumptions'!$E$7</f>
        <v>350</v>
      </c>
      <c r="C10" s="5">
        <f t="shared" ref="C10:AK10" si="2">B12</f>
        <v>687.75</v>
      </c>
      <c r="D10" s="5">
        <f t="shared" si="2"/>
        <v>1036.42875</v>
      </c>
      <c r="E10" s="5">
        <f t="shared" si="2"/>
        <v>1397.13249375</v>
      </c>
      <c r="F10" s="5">
        <f t="shared" si="2"/>
        <v>1771.01522521875</v>
      </c>
      <c r="G10" s="5">
        <f t="shared" si="2"/>
        <v>2159.29291505484</v>
      </c>
      <c r="H10" s="5">
        <f t="shared" si="2"/>
        <v>2563.24799522339</v>
      </c>
      <c r="I10" s="5">
        <f t="shared" si="2"/>
        <v>2984.23411917875</v>
      </c>
      <c r="J10" s="5">
        <f t="shared" si="2"/>
        <v>3423.6812160419</v>
      </c>
      <c r="K10" s="5">
        <f t="shared" si="2"/>
        <v>3883.10085843207</v>
      </c>
      <c r="L10" s="5">
        <f t="shared" si="2"/>
        <v>4364.09196486045</v>
      </c>
      <c r="M10" s="5">
        <f t="shared" si="2"/>
        <v>4868.34685893461</v>
      </c>
      <c r="N10" s="5">
        <f t="shared" si="2"/>
        <v>5397.65770905105</v>
      </c>
      <c r="O10" s="5">
        <f t="shared" si="2"/>
        <v>5953.92337377506</v>
      </c>
      <c r="P10" s="5">
        <f t="shared" si="2"/>
        <v>6539.15667972889</v>
      </c>
      <c r="Q10" s="5">
        <f t="shared" si="2"/>
        <v>7155.49216053666</v>
      </c>
      <c r="R10" s="5">
        <f t="shared" si="2"/>
        <v>7805.19428721506</v>
      </c>
      <c r="S10" s="5">
        <f t="shared" si="2"/>
        <v>8490.66622235902</v>
      </c>
      <c r="T10" s="5">
        <f t="shared" si="2"/>
        <v>9214.45913256072</v>
      </c>
      <c r="U10" s="5">
        <f t="shared" si="2"/>
        <v>9979.28209572434</v>
      </c>
      <c r="V10" s="5">
        <f t="shared" si="2"/>
        <v>10788.0126423094</v>
      </c>
      <c r="W10" s="5">
        <f t="shared" si="2"/>
        <v>11643.7079720599</v>
      </c>
      <c r="X10" s="5">
        <f t="shared" si="2"/>
        <v>12549.6168904641</v>
      </c>
      <c r="Y10" s="5">
        <f t="shared" si="2"/>
        <v>13509.1925120568</v>
      </c>
      <c r="Z10" s="5">
        <f t="shared" si="2"/>
        <v>14526.1057807232</v>
      </c>
      <c r="AA10" s="5">
        <f t="shared" si="2"/>
        <v>15604.2598604144</v>
      </c>
      <c r="AB10" s="5">
        <f t="shared" si="2"/>
        <v>16747.8054531476</v>
      </c>
      <c r="AC10" s="5">
        <f t="shared" si="2"/>
        <v>17961.1571048452</v>
      </c>
      <c r="AD10" s="5">
        <f t="shared" si="2"/>
        <v>19249.0105634996</v>
      </c>
      <c r="AE10" s="5">
        <f t="shared" si="2"/>
        <v>20616.3612583271</v>
      </c>
      <c r="AF10" s="5">
        <f t="shared" si="2"/>
        <v>22068.5239730315</v>
      </c>
      <c r="AG10" s="5">
        <f t="shared" si="2"/>
        <v>23611.1537910397</v>
      </c>
      <c r="AH10" s="5">
        <f t="shared" si="2"/>
        <v>25250.2683956268</v>
      </c>
      <c r="AI10" s="5">
        <f t="shared" si="2"/>
        <v>26992.2718132261</v>
      </c>
      <c r="AJ10" s="5">
        <f t="shared" si="2"/>
        <v>28843.9796939534</v>
      </c>
      <c r="AK10" s="5">
        <f t="shared" si="2"/>
        <v>30812.6462294777</v>
      </c>
    </row>
    <row r="11" spans="1:37">
      <c r="A11" s="24" t="s">
        <v>194</v>
      </c>
      <c r="B11" s="5">
        <f>B10*'01 Assumptions'!$E$10</f>
        <v>12.25</v>
      </c>
      <c r="C11" s="5">
        <f>C10*'01 Assumptions'!$E$10</f>
        <v>24.07125</v>
      </c>
      <c r="D11" s="5">
        <f>D10*'01 Assumptions'!$E$10</f>
        <v>36.27500625</v>
      </c>
      <c r="E11" s="5">
        <f>E10*'01 Assumptions'!$E$10</f>
        <v>48.89963728125</v>
      </c>
      <c r="F11" s="5">
        <f>F10*'01 Assumptions'!$E$10</f>
        <v>61.9855328826563</v>
      </c>
      <c r="G11" s="5">
        <f>G10*'01 Assumptions'!$E$10</f>
        <v>75.5752520269195</v>
      </c>
      <c r="H11" s="5">
        <f>H10*'01 Assumptions'!$E$10</f>
        <v>89.7136798328188</v>
      </c>
      <c r="I11" s="5">
        <f>I10*'01 Assumptions'!$E$10</f>
        <v>104.448194171256</v>
      </c>
      <c r="J11" s="5">
        <f>J10*'01 Assumptions'!$E$10</f>
        <v>119.828842561466</v>
      </c>
      <c r="K11" s="5">
        <f>K10*'01 Assumptions'!$E$10</f>
        <v>135.908530045123</v>
      </c>
      <c r="L11" s="5">
        <f>L10*'01 Assumptions'!$E$10</f>
        <v>152.743218770116</v>
      </c>
      <c r="M11" s="5">
        <f>M10*'01 Assumptions'!$E$10</f>
        <v>170.392140062711</v>
      </c>
      <c r="N11" s="5">
        <f>N10*'01 Assumptions'!$E$10</f>
        <v>188.918019816787</v>
      </c>
      <c r="O11" s="5">
        <f>O10*'01 Assumptions'!$E$10</f>
        <v>208.387318082127</v>
      </c>
      <c r="P11" s="5">
        <f>P10*'01 Assumptions'!$E$10</f>
        <v>228.870483790511</v>
      </c>
      <c r="Q11" s="5">
        <f>Q10*'01 Assumptions'!$E$10</f>
        <v>250.442225618783</v>
      </c>
      <c r="R11" s="5">
        <f>R10*'01 Assumptions'!$E$10</f>
        <v>273.181800052527</v>
      </c>
      <c r="S11" s="5">
        <f>S10*'01 Assumptions'!$E$10</f>
        <v>297.173317782566</v>
      </c>
      <c r="T11" s="5">
        <f>T10*'01 Assumptions'!$E$10</f>
        <v>322.506069639625</v>
      </c>
      <c r="U11" s="5">
        <f>U10*'01 Assumptions'!$E$10</f>
        <v>349.274873350352</v>
      </c>
      <c r="V11" s="5">
        <f>V10*'01 Assumptions'!$E$10</f>
        <v>377.58044248083</v>
      </c>
      <c r="W11" s="5">
        <f>W10*'01 Assumptions'!$E$10</f>
        <v>407.529779022095</v>
      </c>
      <c r="X11" s="5">
        <f>X10*'01 Assumptions'!$E$10</f>
        <v>439.236591166242</v>
      </c>
      <c r="Y11" s="5">
        <f>Y10*'01 Assumptions'!$E$10</f>
        <v>472.821737921989</v>
      </c>
      <c r="Z11" s="5">
        <f>Z10*'01 Assumptions'!$E$10</f>
        <v>508.413702325311</v>
      </c>
      <c r="AA11" s="5">
        <f>AA10*'01 Assumptions'!$E$10</f>
        <v>546.149095114505</v>
      </c>
      <c r="AB11" s="5">
        <f>AB10*'01 Assumptions'!$E$10</f>
        <v>586.173190860165</v>
      </c>
      <c r="AC11" s="5">
        <f>AC10*'01 Assumptions'!$E$10</f>
        <v>628.64049866958</v>
      </c>
      <c r="AD11" s="5">
        <f>AD10*'01 Assumptions'!$E$10</f>
        <v>673.715369722485</v>
      </c>
      <c r="AE11" s="5">
        <f>AE10*'01 Assumptions'!$E$10</f>
        <v>721.57264404145</v>
      </c>
      <c r="AF11" s="5">
        <f>AF10*'01 Assumptions'!$E$10</f>
        <v>772.398339056103</v>
      </c>
      <c r="AG11" s="5">
        <f>AG10*'01 Assumptions'!$E$10</f>
        <v>826.39038268639</v>
      </c>
      <c r="AH11" s="5">
        <f>AH10*'01 Assumptions'!$E$10</f>
        <v>883.759393846938</v>
      </c>
      <c r="AI11" s="5">
        <f>AI10*'01 Assumptions'!$E$10</f>
        <v>944.729513462914</v>
      </c>
      <c r="AJ11" s="5">
        <f>AJ10*'01 Assumptions'!$E$10</f>
        <v>1009.53928928837</v>
      </c>
      <c r="AK11" s="5">
        <f>AK10*'01 Assumptions'!$E$10</f>
        <v>1078.44261803172</v>
      </c>
    </row>
    <row r="12" spans="1:37">
      <c r="A12" s="24" t="s">
        <v>195</v>
      </c>
      <c r="B12" s="5">
        <f t="shared" ref="B12:AK12" si="3">MAX(0,B10+B8-B11)</f>
        <v>687.75</v>
      </c>
      <c r="C12" s="5">
        <f t="shared" si="3"/>
        <v>1036.42875</v>
      </c>
      <c r="D12" s="5">
        <f t="shared" si="3"/>
        <v>1397.13249375</v>
      </c>
      <c r="E12" s="5">
        <f t="shared" si="3"/>
        <v>1771.01522521875</v>
      </c>
      <c r="F12" s="5">
        <f t="shared" si="3"/>
        <v>2159.29291505484</v>
      </c>
      <c r="G12" s="5">
        <f t="shared" si="3"/>
        <v>2563.24799522339</v>
      </c>
      <c r="H12" s="5">
        <f t="shared" si="3"/>
        <v>2984.23411917875</v>
      </c>
      <c r="I12" s="5">
        <f t="shared" si="3"/>
        <v>3423.6812160419</v>
      </c>
      <c r="J12" s="5">
        <f t="shared" si="3"/>
        <v>3883.10085843207</v>
      </c>
      <c r="K12" s="5">
        <f t="shared" si="3"/>
        <v>4364.09196486045</v>
      </c>
      <c r="L12" s="5">
        <f t="shared" si="3"/>
        <v>4868.34685893461</v>
      </c>
      <c r="M12" s="5">
        <f t="shared" si="3"/>
        <v>5397.65770905105</v>
      </c>
      <c r="N12" s="5">
        <f t="shared" si="3"/>
        <v>5953.92337377506</v>
      </c>
      <c r="O12" s="5">
        <f t="shared" si="3"/>
        <v>6539.15667972889</v>
      </c>
      <c r="P12" s="5">
        <f t="shared" si="3"/>
        <v>7155.49216053666</v>
      </c>
      <c r="Q12" s="5">
        <f t="shared" si="3"/>
        <v>7805.19428721506</v>
      </c>
      <c r="R12" s="5">
        <f t="shared" si="3"/>
        <v>8490.66622235902</v>
      </c>
      <c r="S12" s="5">
        <f t="shared" si="3"/>
        <v>9214.45913256072</v>
      </c>
      <c r="T12" s="5">
        <f t="shared" si="3"/>
        <v>9979.28209572434</v>
      </c>
      <c r="U12" s="5">
        <f t="shared" si="3"/>
        <v>10788.0126423094</v>
      </c>
      <c r="V12" s="5">
        <f t="shared" si="3"/>
        <v>11643.7079720599</v>
      </c>
      <c r="W12" s="5">
        <f t="shared" si="3"/>
        <v>12549.6168904641</v>
      </c>
      <c r="X12" s="5">
        <f t="shared" si="3"/>
        <v>13509.1925120568</v>
      </c>
      <c r="Y12" s="5">
        <f t="shared" si="3"/>
        <v>14526.1057807232</v>
      </c>
      <c r="Z12" s="5">
        <f t="shared" si="3"/>
        <v>15604.2598604144</v>
      </c>
      <c r="AA12" s="5">
        <f t="shared" si="3"/>
        <v>16747.8054531476</v>
      </c>
      <c r="AB12" s="5">
        <f t="shared" si="3"/>
        <v>17961.1571048452</v>
      </c>
      <c r="AC12" s="5">
        <f t="shared" si="3"/>
        <v>19249.0105634996</v>
      </c>
      <c r="AD12" s="5">
        <f t="shared" si="3"/>
        <v>20616.3612583271</v>
      </c>
      <c r="AE12" s="5">
        <f t="shared" si="3"/>
        <v>22068.5239730315</v>
      </c>
      <c r="AF12" s="5">
        <f t="shared" si="3"/>
        <v>23611.1537910397</v>
      </c>
      <c r="AG12" s="5">
        <f t="shared" si="3"/>
        <v>25250.2683956268</v>
      </c>
      <c r="AH12" s="5">
        <f t="shared" si="3"/>
        <v>26992.2718132261</v>
      </c>
      <c r="AI12" s="5">
        <f t="shared" si="3"/>
        <v>28843.9796939534</v>
      </c>
      <c r="AJ12" s="5">
        <f t="shared" si="3"/>
        <v>30812.6462294777</v>
      </c>
      <c r="AK12" s="5">
        <f t="shared" si="3"/>
        <v>32905.9928148714</v>
      </c>
    </row>
    <row r="13" spans="1:37">
      <c r="A13" s="24" t="s">
        <v>196</v>
      </c>
      <c r="B13" s="5">
        <f t="shared" ref="B13:AK13" si="4">B9+B12</f>
        <v>11337.75</v>
      </c>
      <c r="C13" s="5">
        <f t="shared" si="4"/>
        <v>12378.67875</v>
      </c>
      <c r="D13" s="5">
        <f t="shared" si="4"/>
        <v>13476.62874375</v>
      </c>
      <c r="E13" s="5">
        <f t="shared" si="4"/>
        <v>14635.6787314687</v>
      </c>
      <c r="F13" s="5">
        <f t="shared" si="4"/>
        <v>15860.1595492111</v>
      </c>
      <c r="G13" s="5">
        <f t="shared" si="4"/>
        <v>17154.6709605998</v>
      </c>
      <c r="H13" s="5">
        <f t="shared" si="4"/>
        <v>18524.0995773046</v>
      </c>
      <c r="I13" s="5">
        <f t="shared" si="4"/>
        <v>19973.637928946</v>
      </c>
      <c r="J13" s="5">
        <f t="shared" si="4"/>
        <v>21508.8047576749</v>
      </c>
      <c r="K13" s="5">
        <f t="shared" si="4"/>
        <v>23135.4666175541</v>
      </c>
      <c r="L13" s="5">
        <f t="shared" si="4"/>
        <v>24859.8608640533</v>
      </c>
      <c r="M13" s="5">
        <f t="shared" si="4"/>
        <v>26688.6201245024</v>
      </c>
      <c r="N13" s="5">
        <f t="shared" si="4"/>
        <v>28628.7983462308</v>
      </c>
      <c r="O13" s="5">
        <f t="shared" si="4"/>
        <v>30687.8985253942</v>
      </c>
      <c r="P13" s="5">
        <f t="shared" si="4"/>
        <v>32873.9022261703</v>
      </c>
      <c r="Q13" s="5">
        <f t="shared" si="4"/>
        <v>35195.3010071149</v>
      </c>
      <c r="R13" s="5">
        <f t="shared" si="4"/>
        <v>37661.1298790523</v>
      </c>
      <c r="S13" s="5">
        <f t="shared" si="4"/>
        <v>40281.0029269391</v>
      </c>
      <c r="T13" s="5">
        <f t="shared" si="4"/>
        <v>43065.1512367373</v>
      </c>
      <c r="U13" s="5">
        <f t="shared" si="4"/>
        <v>46024.4632774882</v>
      </c>
      <c r="V13" s="5">
        <f t="shared" si="4"/>
        <v>49170.5278985253</v>
      </c>
      <c r="W13" s="5">
        <f t="shared" si="4"/>
        <v>52515.6801121497</v>
      </c>
      <c r="X13" s="5">
        <f t="shared" si="4"/>
        <v>56073.049843152</v>
      </c>
      <c r="Y13" s="5">
        <f t="shared" si="4"/>
        <v>59856.6138383396</v>
      </c>
      <c r="Z13" s="5">
        <f t="shared" si="4"/>
        <v>63881.2509417759</v>
      </c>
      <c r="AA13" s="5">
        <f t="shared" si="4"/>
        <v>68162.8009547975</v>
      </c>
      <c r="AB13" s="5">
        <f t="shared" si="4"/>
        <v>72718.1273141024</v>
      </c>
      <c r="AC13" s="5">
        <f t="shared" si="4"/>
        <v>77565.1838363585</v>
      </c>
      <c r="AD13" s="5">
        <f t="shared" si="4"/>
        <v>82723.0857939219</v>
      </c>
      <c r="AE13" s="5">
        <f t="shared" si="4"/>
        <v>88212.1856034399</v>
      </c>
      <c r="AF13" s="5">
        <f t="shared" si="4"/>
        <v>94054.1534274247</v>
      </c>
      <c r="AG13" s="5">
        <f t="shared" si="4"/>
        <v>100272.063008377</v>
      </c>
      <c r="AH13" s="5">
        <f t="shared" si="4"/>
        <v>106890.483075805</v>
      </c>
      <c r="AI13" s="5">
        <f t="shared" si="4"/>
        <v>113935.5746886</v>
      </c>
      <c r="AJ13" s="5">
        <f t="shared" si="4"/>
        <v>121435.194898776</v>
      </c>
      <c r="AK13" s="5">
        <f t="shared" si="4"/>
        <v>129419.007147674</v>
      </c>
    </row>
    <row r="14" spans="1:37">
      <c r="A14" s="24" t="s">
        <v>197</v>
      </c>
      <c r="B14" s="5">
        <f t="shared" ref="B14:AK14" si="5">B8</f>
        <v>350</v>
      </c>
      <c r="C14" s="5">
        <f t="shared" si="5"/>
        <v>372.75</v>
      </c>
      <c r="D14" s="5">
        <f t="shared" si="5"/>
        <v>396.97875</v>
      </c>
      <c r="E14" s="5">
        <f t="shared" si="5"/>
        <v>422.78236875</v>
      </c>
      <c r="F14" s="5">
        <f t="shared" si="5"/>
        <v>450.26322271875</v>
      </c>
      <c r="G14" s="5">
        <f t="shared" si="5"/>
        <v>479.530332195469</v>
      </c>
      <c r="H14" s="5">
        <f t="shared" si="5"/>
        <v>510.699803788174</v>
      </c>
      <c r="I14" s="5">
        <f t="shared" si="5"/>
        <v>543.895291034406</v>
      </c>
      <c r="J14" s="5">
        <f t="shared" si="5"/>
        <v>579.248484951642</v>
      </c>
      <c r="K14" s="5">
        <f t="shared" si="5"/>
        <v>616.899636473499</v>
      </c>
      <c r="L14" s="5">
        <f t="shared" si="5"/>
        <v>656.998112844276</v>
      </c>
      <c r="M14" s="5">
        <f t="shared" si="5"/>
        <v>699.702990179154</v>
      </c>
      <c r="N14" s="5">
        <f t="shared" si="5"/>
        <v>745.183684540799</v>
      </c>
      <c r="O14" s="5">
        <f t="shared" si="5"/>
        <v>793.620624035951</v>
      </c>
      <c r="P14" s="5">
        <f t="shared" si="5"/>
        <v>845.205964598288</v>
      </c>
      <c r="Q14" s="5">
        <f t="shared" si="5"/>
        <v>900.144352297176</v>
      </c>
      <c r="R14" s="5">
        <f t="shared" si="5"/>
        <v>958.653735196493</v>
      </c>
      <c r="S14" s="5">
        <f t="shared" si="5"/>
        <v>1020.96622798426</v>
      </c>
      <c r="T14" s="5">
        <f t="shared" si="5"/>
        <v>1087.32903280324</v>
      </c>
      <c r="U14" s="5">
        <f t="shared" si="5"/>
        <v>1158.00541993545</v>
      </c>
      <c r="V14" s="5">
        <f t="shared" si="5"/>
        <v>1233.27577223126</v>
      </c>
      <c r="W14" s="5">
        <f t="shared" si="5"/>
        <v>1313.43869742629</v>
      </c>
      <c r="X14" s="5">
        <f t="shared" si="5"/>
        <v>1398.812212759</v>
      </c>
      <c r="Y14" s="5">
        <f t="shared" si="5"/>
        <v>1489.73500658833</v>
      </c>
      <c r="Z14" s="5">
        <f t="shared" si="5"/>
        <v>1586.56778201657</v>
      </c>
      <c r="AA14" s="5">
        <f t="shared" si="5"/>
        <v>1689.69468784765</v>
      </c>
      <c r="AB14" s="5">
        <f t="shared" si="5"/>
        <v>1799.52484255775</v>
      </c>
      <c r="AC14" s="5">
        <f t="shared" si="5"/>
        <v>1916.493957324</v>
      </c>
      <c r="AD14" s="5">
        <f t="shared" si="5"/>
        <v>2041.06606455006</v>
      </c>
      <c r="AE14" s="5">
        <f t="shared" si="5"/>
        <v>2173.73535874582</v>
      </c>
      <c r="AF14" s="5">
        <f t="shared" si="5"/>
        <v>2315.02815706429</v>
      </c>
      <c r="AG14" s="5">
        <f t="shared" si="5"/>
        <v>2465.50498727347</v>
      </c>
      <c r="AH14" s="5">
        <f t="shared" si="5"/>
        <v>2625.76281144625</v>
      </c>
      <c r="AI14" s="5">
        <f t="shared" si="5"/>
        <v>2796.43739419026</v>
      </c>
      <c r="AJ14" s="5">
        <f t="shared" si="5"/>
        <v>2978.20582481262</v>
      </c>
      <c r="AK14" s="5">
        <f t="shared" si="5"/>
        <v>3171.78920342544</v>
      </c>
    </row>
    <row r="15" spans="1:37">
      <c r="A15" s="24" t="s">
        <v>198</v>
      </c>
      <c r="B15" s="7">
        <f t="shared" ref="B15:AK15" si="6">IFERROR(B8/B6,0)</f>
        <v>0.035</v>
      </c>
      <c r="C15" s="7">
        <f t="shared" si="6"/>
        <v>0.035</v>
      </c>
      <c r="D15" s="7">
        <f t="shared" si="6"/>
        <v>0.035</v>
      </c>
      <c r="E15" s="7">
        <f t="shared" si="6"/>
        <v>0.035</v>
      </c>
      <c r="F15" s="7">
        <f t="shared" si="6"/>
        <v>0.035</v>
      </c>
      <c r="G15" s="7">
        <f t="shared" si="6"/>
        <v>0.035</v>
      </c>
      <c r="H15" s="7">
        <f t="shared" si="6"/>
        <v>0.035</v>
      </c>
      <c r="I15" s="7">
        <f t="shared" si="6"/>
        <v>0.035</v>
      </c>
      <c r="J15" s="7">
        <f t="shared" si="6"/>
        <v>0.035</v>
      </c>
      <c r="K15" s="7">
        <f t="shared" si="6"/>
        <v>0.035</v>
      </c>
      <c r="L15" s="7">
        <f t="shared" si="6"/>
        <v>0.035</v>
      </c>
      <c r="M15" s="7">
        <f t="shared" si="6"/>
        <v>0.035</v>
      </c>
      <c r="N15" s="7">
        <f t="shared" si="6"/>
        <v>0.035</v>
      </c>
      <c r="O15" s="7">
        <f t="shared" si="6"/>
        <v>0.035</v>
      </c>
      <c r="P15" s="7">
        <f t="shared" si="6"/>
        <v>0.035</v>
      </c>
      <c r="Q15" s="7">
        <f t="shared" si="6"/>
        <v>0.035</v>
      </c>
      <c r="R15" s="7">
        <f t="shared" si="6"/>
        <v>0.035</v>
      </c>
      <c r="S15" s="7">
        <f t="shared" si="6"/>
        <v>0.035</v>
      </c>
      <c r="T15" s="7">
        <f t="shared" si="6"/>
        <v>0.035</v>
      </c>
      <c r="U15" s="7">
        <f t="shared" si="6"/>
        <v>0.035</v>
      </c>
      <c r="V15" s="7">
        <f t="shared" si="6"/>
        <v>0.035</v>
      </c>
      <c r="W15" s="7">
        <f t="shared" si="6"/>
        <v>0.035</v>
      </c>
      <c r="X15" s="7">
        <f t="shared" si="6"/>
        <v>0.035</v>
      </c>
      <c r="Y15" s="7">
        <f t="shared" si="6"/>
        <v>0.035</v>
      </c>
      <c r="Z15" s="7">
        <f t="shared" si="6"/>
        <v>0.035</v>
      </c>
      <c r="AA15" s="7">
        <f t="shared" si="6"/>
        <v>0.035</v>
      </c>
      <c r="AB15" s="7">
        <f t="shared" si="6"/>
        <v>0.035</v>
      </c>
      <c r="AC15" s="7">
        <f t="shared" si="6"/>
        <v>0.035</v>
      </c>
      <c r="AD15" s="7">
        <f t="shared" si="6"/>
        <v>0.035</v>
      </c>
      <c r="AE15" s="7">
        <f t="shared" si="6"/>
        <v>0.035</v>
      </c>
      <c r="AF15" s="7">
        <f t="shared" si="6"/>
        <v>0.035</v>
      </c>
      <c r="AG15" s="7">
        <f t="shared" si="6"/>
        <v>0.035</v>
      </c>
      <c r="AH15" s="7">
        <f t="shared" si="6"/>
        <v>0.035</v>
      </c>
      <c r="AI15" s="7">
        <f t="shared" si="6"/>
        <v>0.035</v>
      </c>
      <c r="AJ15" s="7">
        <f t="shared" si="6"/>
        <v>0.035</v>
      </c>
      <c r="AK15" s="7">
        <f t="shared" si="6"/>
        <v>0.035</v>
      </c>
    </row>
    <row r="16" spans="1:37">
      <c r="A16" s="24" t="s">
        <v>199</v>
      </c>
      <c r="B16" s="7">
        <f>'01 Assumptions'!$E$10</f>
        <v>0.035</v>
      </c>
      <c r="C16" s="7">
        <f>'01 Assumptions'!$E$10</f>
        <v>0.035</v>
      </c>
      <c r="D16" s="7">
        <f>'01 Assumptions'!$E$10</f>
        <v>0.035</v>
      </c>
      <c r="E16" s="7">
        <f>'01 Assumptions'!$E$10</f>
        <v>0.035</v>
      </c>
      <c r="F16" s="7">
        <f>'01 Assumptions'!$E$10</f>
        <v>0.035</v>
      </c>
      <c r="G16" s="7">
        <f>'01 Assumptions'!$E$10</f>
        <v>0.035</v>
      </c>
      <c r="H16" s="7">
        <f>'01 Assumptions'!$E$10</f>
        <v>0.035</v>
      </c>
      <c r="I16" s="7">
        <f>'01 Assumptions'!$E$10</f>
        <v>0.035</v>
      </c>
      <c r="J16" s="7">
        <f>'01 Assumptions'!$E$10</f>
        <v>0.035</v>
      </c>
      <c r="K16" s="7">
        <f>'01 Assumptions'!$E$10</f>
        <v>0.035</v>
      </c>
      <c r="L16" s="7">
        <f>'01 Assumptions'!$E$10</f>
        <v>0.035</v>
      </c>
      <c r="M16" s="7">
        <f>'01 Assumptions'!$E$10</f>
        <v>0.035</v>
      </c>
      <c r="N16" s="7">
        <f>'01 Assumptions'!$E$10</f>
        <v>0.035</v>
      </c>
      <c r="O16" s="7">
        <f>'01 Assumptions'!$E$10</f>
        <v>0.035</v>
      </c>
      <c r="P16" s="7">
        <f>'01 Assumptions'!$E$10</f>
        <v>0.035</v>
      </c>
      <c r="Q16" s="7">
        <f>'01 Assumptions'!$E$10</f>
        <v>0.035</v>
      </c>
      <c r="R16" s="7">
        <f>'01 Assumptions'!$E$10</f>
        <v>0.035</v>
      </c>
      <c r="S16" s="7">
        <f>'01 Assumptions'!$E$10</f>
        <v>0.035</v>
      </c>
      <c r="T16" s="7">
        <f>'01 Assumptions'!$E$10</f>
        <v>0.035</v>
      </c>
      <c r="U16" s="7">
        <f>'01 Assumptions'!$E$10</f>
        <v>0.035</v>
      </c>
      <c r="V16" s="7">
        <f>'01 Assumptions'!$E$10</f>
        <v>0.035</v>
      </c>
      <c r="W16" s="7">
        <f>'01 Assumptions'!$E$10</f>
        <v>0.035</v>
      </c>
      <c r="X16" s="7">
        <f>'01 Assumptions'!$E$10</f>
        <v>0.035</v>
      </c>
      <c r="Y16" s="7">
        <f>'01 Assumptions'!$E$10</f>
        <v>0.035</v>
      </c>
      <c r="Z16" s="7">
        <f>'01 Assumptions'!$E$10</f>
        <v>0.035</v>
      </c>
      <c r="AA16" s="7">
        <f>'01 Assumptions'!$E$10</f>
        <v>0.035</v>
      </c>
      <c r="AB16" s="7">
        <f>'01 Assumptions'!$E$10</f>
        <v>0.035</v>
      </c>
      <c r="AC16" s="7">
        <f>'01 Assumptions'!$E$10</f>
        <v>0.035</v>
      </c>
      <c r="AD16" s="7">
        <f>'01 Assumptions'!$E$10</f>
        <v>0.035</v>
      </c>
      <c r="AE16" s="7">
        <f>'01 Assumptions'!$E$10</f>
        <v>0.035</v>
      </c>
      <c r="AF16" s="7">
        <f>'01 Assumptions'!$E$10</f>
        <v>0.035</v>
      </c>
      <c r="AG16" s="7">
        <f>'01 Assumptions'!$E$10</f>
        <v>0.035</v>
      </c>
      <c r="AH16" s="7">
        <f>'01 Assumptions'!$E$10</f>
        <v>0.035</v>
      </c>
      <c r="AI16" s="7">
        <f>'01 Assumptions'!$E$10</f>
        <v>0.035</v>
      </c>
      <c r="AJ16" s="7">
        <f>'01 Assumptions'!$E$10</f>
        <v>0.035</v>
      </c>
      <c r="AK16" s="7">
        <f>'01 Assumptions'!$E$10</f>
        <v>0.035</v>
      </c>
    </row>
    <row r="17" spans="1:37">
      <c r="A17" s="24" t="s">
        <v>200</v>
      </c>
      <c r="B17" s="5">
        <f>'01 Assumptions'!$E$13</f>
        <v>20</v>
      </c>
      <c r="C17" s="5">
        <f>B17*(1+'01 Assumptions'!$E$14)</f>
        <v>21.8</v>
      </c>
      <c r="D17" s="5">
        <f>C17*(1+'01 Assumptions'!$E$14)</f>
        <v>23.762</v>
      </c>
      <c r="E17" s="5">
        <f>D17*(1+'01 Assumptions'!$E$14)</f>
        <v>25.90058</v>
      </c>
      <c r="F17" s="5">
        <f>E17*(1+'01 Assumptions'!$E$14)</f>
        <v>28.2316322</v>
      </c>
      <c r="G17" s="5">
        <f>F17*(1+'01 Assumptions'!$E$14)</f>
        <v>30.772479098</v>
      </c>
      <c r="H17" s="5">
        <f>G17*(1+'01 Assumptions'!$E$14)</f>
        <v>33.54200221682</v>
      </c>
      <c r="I17" s="5">
        <f>H17*(1+'01 Assumptions'!$E$14)</f>
        <v>36.5607824163338</v>
      </c>
      <c r="J17" s="5">
        <f>I17*(1+'01 Assumptions'!$E$14)</f>
        <v>39.8512528338039</v>
      </c>
      <c r="K17" s="5">
        <f>J17*(1+'01 Assumptions'!$E$14)</f>
        <v>43.4378655888462</v>
      </c>
      <c r="L17" s="5">
        <f>K17*(1+'01 Assumptions'!$E$14)</f>
        <v>47.3472734918424</v>
      </c>
      <c r="M17" s="5">
        <f>L17*(1+'01 Assumptions'!$E$14)</f>
        <v>51.6085281061082</v>
      </c>
      <c r="N17" s="5">
        <f>M17*(1+'01 Assumptions'!$E$14)</f>
        <v>56.2532956356579</v>
      </c>
      <c r="O17" s="5">
        <f>N17*(1+'01 Assumptions'!$E$14)</f>
        <v>61.3160922428672</v>
      </c>
      <c r="P17" s="5">
        <f>O17*(1+'01 Assumptions'!$E$14)</f>
        <v>66.8345405447252</v>
      </c>
      <c r="Q17" s="5">
        <f>P17*(1+'01 Assumptions'!$E$14)</f>
        <v>72.8496491937505</v>
      </c>
      <c r="R17" s="5">
        <f>Q17*(1+'01 Assumptions'!$E$14)</f>
        <v>79.406117621188</v>
      </c>
      <c r="S17" s="5">
        <f>R17*(1+'01 Assumptions'!$E$14)</f>
        <v>86.552668207095</v>
      </c>
      <c r="T17" s="5">
        <f>S17*(1+'01 Assumptions'!$E$14)</f>
        <v>94.3424083457335</v>
      </c>
      <c r="U17" s="5">
        <f>T17*(1+'01 Assumptions'!$E$14)</f>
        <v>102.83322509685</v>
      </c>
      <c r="V17" s="5">
        <f>U17*(1+'01 Assumptions'!$E$14)</f>
        <v>112.088215355566</v>
      </c>
      <c r="W17" s="5">
        <f>V17*(1+'01 Assumptions'!$E$14)</f>
        <v>122.176154737567</v>
      </c>
      <c r="X17" s="5">
        <f>W17*(1+'01 Assumptions'!$E$14)</f>
        <v>133.172008663948</v>
      </c>
      <c r="Y17" s="5">
        <f>X17*(1+'01 Assumptions'!$E$14)</f>
        <v>145.157489443703</v>
      </c>
      <c r="Z17" s="5">
        <f>Y17*(1+'01 Assumptions'!$E$14)</f>
        <v>158.221663493637</v>
      </c>
      <c r="AA17" s="5">
        <f>Z17*(1+'01 Assumptions'!$E$14)</f>
        <v>172.461613208064</v>
      </c>
      <c r="AB17" s="5">
        <f>AA17*(1+'01 Assumptions'!$E$14)</f>
        <v>187.98315839679</v>
      </c>
      <c r="AC17" s="5">
        <f>AB17*(1+'01 Assumptions'!$E$14)</f>
        <v>204.901642652501</v>
      </c>
      <c r="AD17" s="5">
        <f>AC17*(1+'01 Assumptions'!$E$14)</f>
        <v>223.342790491226</v>
      </c>
      <c r="AE17" s="5">
        <f>AD17*(1+'01 Assumptions'!$E$14)</f>
        <v>243.443641635436</v>
      </c>
      <c r="AF17" s="5">
        <f>AE17*(1+'01 Assumptions'!$E$14)</f>
        <v>265.353569382626</v>
      </c>
      <c r="AG17" s="5">
        <f>AF17*(1+'01 Assumptions'!$E$14)</f>
        <v>289.235390627062</v>
      </c>
      <c r="AH17" s="5">
        <f>AG17*(1+'01 Assumptions'!$E$14)</f>
        <v>315.266575783497</v>
      </c>
      <c r="AI17" s="5">
        <f>AH17*(1+'01 Assumptions'!$E$14)</f>
        <v>343.640567604012</v>
      </c>
      <c r="AJ17" s="5">
        <f>AI17*(1+'01 Assumptions'!$E$14)</f>
        <v>374.568218688373</v>
      </c>
      <c r="AK17" s="5">
        <f>AJ17*(1+'01 Assumptions'!$E$14)</f>
        <v>408.279358370327</v>
      </c>
    </row>
    <row r="18" spans="1:37">
      <c r="A18" s="24" t="s">
        <v>201</v>
      </c>
      <c r="B18" s="5">
        <f>B17*'01 Assumptions'!$E$15</f>
        <v>3000</v>
      </c>
      <c r="C18" s="5">
        <f>C17*'01 Assumptions'!$E$15</f>
        <v>3270</v>
      </c>
      <c r="D18" s="5">
        <f>D17*'01 Assumptions'!$E$15</f>
        <v>3564.3</v>
      </c>
      <c r="E18" s="5">
        <f>E17*'01 Assumptions'!$E$15</f>
        <v>3885.087</v>
      </c>
      <c r="F18" s="5">
        <f>F17*'01 Assumptions'!$E$15</f>
        <v>4234.74483</v>
      </c>
      <c r="G18" s="5">
        <f>G17*'01 Assumptions'!$E$15</f>
        <v>4615.8718647</v>
      </c>
      <c r="H18" s="5">
        <f>H17*'01 Assumptions'!$E$15</f>
        <v>5031.300332523</v>
      </c>
      <c r="I18" s="5">
        <f>I17*'01 Assumptions'!$E$15</f>
        <v>5484.11736245007</v>
      </c>
      <c r="J18" s="5">
        <f>J17*'01 Assumptions'!$E$15</f>
        <v>5977.68792507058</v>
      </c>
      <c r="K18" s="5">
        <f>K17*'01 Assumptions'!$E$15</f>
        <v>6515.67983832693</v>
      </c>
      <c r="L18" s="5">
        <f>L17*'01 Assumptions'!$E$15</f>
        <v>7102.09102377636</v>
      </c>
      <c r="M18" s="5">
        <f>M17*'01 Assumptions'!$E$15</f>
        <v>7741.27921591623</v>
      </c>
      <c r="N18" s="5">
        <f>N17*'01 Assumptions'!$E$15</f>
        <v>8437.99434534869</v>
      </c>
      <c r="O18" s="5">
        <f>O17*'01 Assumptions'!$E$15</f>
        <v>9197.41383643007</v>
      </c>
      <c r="P18" s="5">
        <f>P17*'01 Assumptions'!$E$15</f>
        <v>10025.1810817088</v>
      </c>
      <c r="Q18" s="5">
        <f>Q17*'01 Assumptions'!$E$15</f>
        <v>10927.4473790626</v>
      </c>
      <c r="R18" s="5">
        <f>R17*'01 Assumptions'!$E$15</f>
        <v>11910.9176431782</v>
      </c>
      <c r="S18" s="5">
        <f>S17*'01 Assumptions'!$E$15</f>
        <v>12982.9002310642</v>
      </c>
      <c r="T18" s="5">
        <f>T17*'01 Assumptions'!$E$15</f>
        <v>14151.36125186</v>
      </c>
      <c r="U18" s="5">
        <f>U17*'01 Assumptions'!$E$15</f>
        <v>15424.9837645274</v>
      </c>
      <c r="V18" s="5">
        <f>V17*'01 Assumptions'!$E$15</f>
        <v>16813.2323033349</v>
      </c>
      <c r="W18" s="5">
        <f>W17*'01 Assumptions'!$E$15</f>
        <v>18326.423210635</v>
      </c>
      <c r="X18" s="5">
        <f>X17*'01 Assumptions'!$E$15</f>
        <v>19975.8012995922</v>
      </c>
      <c r="Y18" s="5">
        <f>Y17*'01 Assumptions'!$E$15</f>
        <v>21773.6234165555</v>
      </c>
      <c r="Z18" s="5">
        <f>Z17*'01 Assumptions'!$E$15</f>
        <v>23733.2495240455</v>
      </c>
      <c r="AA18" s="5">
        <f>AA17*'01 Assumptions'!$E$15</f>
        <v>25869.2419812096</v>
      </c>
      <c r="AB18" s="5">
        <f>AB17*'01 Assumptions'!$E$15</f>
        <v>28197.4737595185</v>
      </c>
      <c r="AC18" s="5">
        <f>AC17*'01 Assumptions'!$E$15</f>
        <v>30735.2463978751</v>
      </c>
      <c r="AD18" s="5">
        <f>AD17*'01 Assumptions'!$E$15</f>
        <v>33501.4185736839</v>
      </c>
      <c r="AE18" s="5">
        <f>AE17*'01 Assumptions'!$E$15</f>
        <v>36516.5462453154</v>
      </c>
      <c r="AF18" s="5">
        <f>AF17*'01 Assumptions'!$E$15</f>
        <v>39803.0354073938</v>
      </c>
      <c r="AG18" s="5">
        <f>AG17*'01 Assumptions'!$E$15</f>
        <v>43385.3085940593</v>
      </c>
      <c r="AH18" s="5">
        <f>AH17*'01 Assumptions'!$E$15</f>
        <v>47289.9863675246</v>
      </c>
      <c r="AI18" s="5">
        <f>AI17*'01 Assumptions'!$E$15</f>
        <v>51546.0851406018</v>
      </c>
      <c r="AJ18" s="5">
        <f>AJ17*'01 Assumptions'!$E$15</f>
        <v>56185.232803256</v>
      </c>
      <c r="AK18" s="5">
        <f>AK17*'01 Assumptions'!$E$15</f>
        <v>61241.903755549</v>
      </c>
    </row>
    <row r="19" spans="1:37">
      <c r="A19" s="24" t="s">
        <v>202</v>
      </c>
      <c r="B19" s="5">
        <f>'01 Assumptions'!$E$18</f>
        <v>250</v>
      </c>
      <c r="C19" s="5">
        <f>B19*(1+'01 Assumptions'!$E$19)</f>
        <v>275</v>
      </c>
      <c r="D19" s="5">
        <f>C19*(1+'01 Assumptions'!$E$19)</f>
        <v>302.5</v>
      </c>
      <c r="E19" s="5">
        <f>D19*(1+'01 Assumptions'!$E$19)</f>
        <v>332.75</v>
      </c>
      <c r="F19" s="5">
        <f>E19*(1+'01 Assumptions'!$E$19)</f>
        <v>366.025</v>
      </c>
      <c r="G19" s="5">
        <f>F19*(1+'01 Assumptions'!$E$19)</f>
        <v>402.6275</v>
      </c>
      <c r="H19" s="5">
        <f>G19*(1+'01 Assumptions'!$E$19)</f>
        <v>442.89025</v>
      </c>
      <c r="I19" s="5">
        <f>H19*(1+'01 Assumptions'!$E$19)</f>
        <v>487.179275</v>
      </c>
      <c r="J19" s="5">
        <f>I19*(1+'01 Assumptions'!$E$19)</f>
        <v>535.8972025</v>
      </c>
      <c r="K19" s="5">
        <f>J19*(1+'01 Assumptions'!$E$19)</f>
        <v>589.48692275</v>
      </c>
      <c r="L19" s="5">
        <f>K19*(1+'01 Assumptions'!$E$19)</f>
        <v>648.435615025</v>
      </c>
      <c r="M19" s="5">
        <f>L19*(1+'01 Assumptions'!$E$19)</f>
        <v>713.2791765275</v>
      </c>
      <c r="N19" s="5">
        <f>M19*(1+'01 Assumptions'!$E$19)</f>
        <v>784.60709418025</v>
      </c>
      <c r="O19" s="5">
        <f>N19*(1+'01 Assumptions'!$E$19)</f>
        <v>863.067803598276</v>
      </c>
      <c r="P19" s="5">
        <f>O19*(1+'01 Assumptions'!$E$19)</f>
        <v>949.374583958103</v>
      </c>
      <c r="Q19" s="5">
        <f>P19*(1+'01 Assumptions'!$E$19)</f>
        <v>1044.31204235391</v>
      </c>
      <c r="R19" s="5">
        <f>Q19*(1+'01 Assumptions'!$E$19)</f>
        <v>1148.74324658931</v>
      </c>
      <c r="S19" s="5">
        <f>R19*(1+'01 Assumptions'!$E$19)</f>
        <v>1263.61757124824</v>
      </c>
      <c r="T19" s="5">
        <f>S19*(1+'01 Assumptions'!$E$19)</f>
        <v>1389.97932837306</v>
      </c>
      <c r="U19" s="5">
        <f>T19*(1+'01 Assumptions'!$E$19)</f>
        <v>1528.97726121037</v>
      </c>
      <c r="V19" s="5">
        <f>U19*(1+'01 Assumptions'!$E$19)</f>
        <v>1681.8749873314</v>
      </c>
      <c r="W19" s="5">
        <f>V19*(1+'01 Assumptions'!$E$19)</f>
        <v>1850.06248606454</v>
      </c>
      <c r="X19" s="5">
        <f>W19*(1+'01 Assumptions'!$E$19)</f>
        <v>2035.068734671</v>
      </c>
      <c r="Y19" s="5">
        <f>X19*(1+'01 Assumptions'!$E$19)</f>
        <v>2238.5756081381</v>
      </c>
      <c r="Z19" s="5">
        <f>Y19*(1+'01 Assumptions'!$E$19)</f>
        <v>2462.43316895191</v>
      </c>
      <c r="AA19" s="5">
        <f>Z19*(1+'01 Assumptions'!$E$19)</f>
        <v>2708.6764858471</v>
      </c>
      <c r="AB19" s="5">
        <f>AA19*(1+'01 Assumptions'!$E$19)</f>
        <v>2979.54413443181</v>
      </c>
      <c r="AC19" s="5">
        <f>AB19*(1+'01 Assumptions'!$E$19)</f>
        <v>3277.49854787499</v>
      </c>
      <c r="AD19" s="5">
        <f>AC19*(1+'01 Assumptions'!$E$19)</f>
        <v>3605.24840266249</v>
      </c>
      <c r="AE19" s="5">
        <f>AD19*(1+'01 Assumptions'!$E$19)</f>
        <v>3965.77324292874</v>
      </c>
      <c r="AF19" s="5">
        <f>AE19*(1+'01 Assumptions'!$E$19)</f>
        <v>4362.35056722161</v>
      </c>
      <c r="AG19" s="5">
        <f>AF19*(1+'01 Assumptions'!$E$19)</f>
        <v>4798.58562394377</v>
      </c>
      <c r="AH19" s="5">
        <f>AG19*(1+'01 Assumptions'!$E$19)</f>
        <v>5278.44418633815</v>
      </c>
      <c r="AI19" s="5">
        <f>AH19*(1+'01 Assumptions'!$E$19)</f>
        <v>5806.28860497196</v>
      </c>
      <c r="AJ19" s="5">
        <f>AI19*(1+'01 Assumptions'!$E$19)</f>
        <v>6386.91746546916</v>
      </c>
      <c r="AK19" s="5">
        <f>AJ19*(1+'01 Assumptions'!$E$19)</f>
        <v>7025.60921201608</v>
      </c>
    </row>
    <row r="20" spans="1:37">
      <c r="A20" s="24" t="s">
        <v>203</v>
      </c>
      <c r="B20" s="5">
        <f>'01 Assumptions'!$E$25</f>
        <v>3</v>
      </c>
      <c r="C20" s="5">
        <f>B20+'01 Assumptions'!$E$26</f>
        <v>3.75</v>
      </c>
      <c r="D20" s="5">
        <f>C20+'01 Assumptions'!$E$26</f>
        <v>4.5</v>
      </c>
      <c r="E20" s="5">
        <f>D20+'01 Assumptions'!$E$26</f>
        <v>5.25</v>
      </c>
      <c r="F20" s="5">
        <f>E20+'01 Assumptions'!$E$26</f>
        <v>6</v>
      </c>
      <c r="G20" s="5">
        <f>F20+'01 Assumptions'!$E$26</f>
        <v>6.75</v>
      </c>
      <c r="H20" s="5">
        <f>G20+'01 Assumptions'!$E$26</f>
        <v>7.5</v>
      </c>
      <c r="I20" s="5">
        <f>H20+'01 Assumptions'!$E$26</f>
        <v>8.25</v>
      </c>
      <c r="J20" s="5">
        <f>I20+'01 Assumptions'!$E$26</f>
        <v>9</v>
      </c>
      <c r="K20" s="5">
        <f>J20+'01 Assumptions'!$E$26</f>
        <v>9.75</v>
      </c>
      <c r="L20" s="5">
        <f>K20+'01 Assumptions'!$E$26</f>
        <v>10.5</v>
      </c>
      <c r="M20" s="5">
        <f>L20+'01 Assumptions'!$E$26</f>
        <v>11.25</v>
      </c>
      <c r="N20" s="5">
        <f>M20+'01 Assumptions'!$E$26</f>
        <v>12</v>
      </c>
      <c r="O20" s="5">
        <f>N20+'01 Assumptions'!$E$26</f>
        <v>12.75</v>
      </c>
      <c r="P20" s="5">
        <f>O20+'01 Assumptions'!$E$26</f>
        <v>13.5</v>
      </c>
      <c r="Q20" s="5">
        <f>P20+'01 Assumptions'!$E$26</f>
        <v>14.25</v>
      </c>
      <c r="R20" s="5">
        <f>Q20+'01 Assumptions'!$E$26</f>
        <v>15</v>
      </c>
      <c r="S20" s="5">
        <f>R20+'01 Assumptions'!$E$26</f>
        <v>15.75</v>
      </c>
      <c r="T20" s="5">
        <f>S20+'01 Assumptions'!$E$26</f>
        <v>16.5</v>
      </c>
      <c r="U20" s="5">
        <f>T20+'01 Assumptions'!$E$26</f>
        <v>17.25</v>
      </c>
      <c r="V20" s="5">
        <f>U20+'01 Assumptions'!$E$26</f>
        <v>18</v>
      </c>
      <c r="W20" s="5">
        <f>V20+'01 Assumptions'!$E$26</f>
        <v>18.75</v>
      </c>
      <c r="X20" s="5">
        <f>W20+'01 Assumptions'!$E$26</f>
        <v>19.5</v>
      </c>
      <c r="Y20" s="5">
        <f>X20+'01 Assumptions'!$E$26</f>
        <v>20.25</v>
      </c>
      <c r="Z20" s="5">
        <f>Y20+'01 Assumptions'!$E$26</f>
        <v>21</v>
      </c>
      <c r="AA20" s="5">
        <f>Z20+'01 Assumptions'!$E$26</f>
        <v>21.75</v>
      </c>
      <c r="AB20" s="5">
        <f>AA20+'01 Assumptions'!$E$26</f>
        <v>22.5</v>
      </c>
      <c r="AC20" s="5">
        <f>AB20+'01 Assumptions'!$E$26</f>
        <v>23.25</v>
      </c>
      <c r="AD20" s="5">
        <f>AC20+'01 Assumptions'!$E$26</f>
        <v>24</v>
      </c>
      <c r="AE20" s="5">
        <f>AD20+'01 Assumptions'!$E$26</f>
        <v>24.75</v>
      </c>
      <c r="AF20" s="5">
        <f>AE20+'01 Assumptions'!$E$26</f>
        <v>25.5</v>
      </c>
      <c r="AG20" s="5">
        <f>AF20+'01 Assumptions'!$E$26</f>
        <v>26.25</v>
      </c>
      <c r="AH20" s="5">
        <f>AG20+'01 Assumptions'!$E$26</f>
        <v>27</v>
      </c>
      <c r="AI20" s="5">
        <f>AH20+'01 Assumptions'!$E$26</f>
        <v>27.75</v>
      </c>
      <c r="AJ20" s="5">
        <f>AI20+'01 Assumptions'!$E$26</f>
        <v>28.5</v>
      </c>
      <c r="AK20" s="5">
        <f>AJ20+'01 Assumptions'!$E$26</f>
        <v>29.25</v>
      </c>
    </row>
    <row r="21" spans="1:37">
      <c r="A21" s="24" t="s">
        <v>204</v>
      </c>
      <c r="B21" s="5">
        <f>'01 Assumptions'!$E$28</f>
        <v>1</v>
      </c>
      <c r="C21" s="5">
        <f>B21+'01 Assumptions'!$E$29</f>
        <v>1.35</v>
      </c>
      <c r="D21" s="5">
        <f>C21+'01 Assumptions'!$E$29</f>
        <v>1.7</v>
      </c>
      <c r="E21" s="5">
        <f>D21+'01 Assumptions'!$E$29</f>
        <v>2.05</v>
      </c>
      <c r="F21" s="5">
        <f>E21+'01 Assumptions'!$E$29</f>
        <v>2.4</v>
      </c>
      <c r="G21" s="5">
        <f>F21+'01 Assumptions'!$E$29</f>
        <v>2.75</v>
      </c>
      <c r="H21" s="5">
        <f>G21+'01 Assumptions'!$E$29</f>
        <v>3.1</v>
      </c>
      <c r="I21" s="5">
        <f>H21+'01 Assumptions'!$E$29</f>
        <v>3.45</v>
      </c>
      <c r="J21" s="5">
        <f>I21+'01 Assumptions'!$E$29</f>
        <v>3.8</v>
      </c>
      <c r="K21" s="5">
        <f>J21+'01 Assumptions'!$E$29</f>
        <v>4.15</v>
      </c>
      <c r="L21" s="5">
        <f>K21+'01 Assumptions'!$E$29</f>
        <v>4.5</v>
      </c>
      <c r="M21" s="5">
        <f>L21+'01 Assumptions'!$E$29</f>
        <v>4.85</v>
      </c>
      <c r="N21" s="5">
        <f>M21+'01 Assumptions'!$E$29</f>
        <v>5.2</v>
      </c>
      <c r="O21" s="5">
        <f>N21+'01 Assumptions'!$E$29</f>
        <v>5.55</v>
      </c>
      <c r="P21" s="5">
        <f>O21+'01 Assumptions'!$E$29</f>
        <v>5.9</v>
      </c>
      <c r="Q21" s="5">
        <f>P21+'01 Assumptions'!$E$29</f>
        <v>6.25</v>
      </c>
      <c r="R21" s="5">
        <f>Q21+'01 Assumptions'!$E$29</f>
        <v>6.6</v>
      </c>
      <c r="S21" s="5">
        <f>R21+'01 Assumptions'!$E$29</f>
        <v>6.95</v>
      </c>
      <c r="T21" s="5">
        <f>S21+'01 Assumptions'!$E$29</f>
        <v>7.3</v>
      </c>
      <c r="U21" s="5">
        <f>T21+'01 Assumptions'!$E$29</f>
        <v>7.65</v>
      </c>
      <c r="V21" s="5">
        <f>U21+'01 Assumptions'!$E$29</f>
        <v>8</v>
      </c>
      <c r="W21" s="5">
        <f>V21+'01 Assumptions'!$E$29</f>
        <v>8.35</v>
      </c>
      <c r="X21" s="5">
        <f>W21+'01 Assumptions'!$E$29</f>
        <v>8.7</v>
      </c>
      <c r="Y21" s="5">
        <f>X21+'01 Assumptions'!$E$29</f>
        <v>9.05</v>
      </c>
      <c r="Z21" s="5">
        <f>Y21+'01 Assumptions'!$E$29</f>
        <v>9.4</v>
      </c>
      <c r="AA21" s="5">
        <f>Z21+'01 Assumptions'!$E$29</f>
        <v>9.74999999999999</v>
      </c>
      <c r="AB21" s="5">
        <f>AA21+'01 Assumptions'!$E$29</f>
        <v>10.1</v>
      </c>
      <c r="AC21" s="5">
        <f>AB21+'01 Assumptions'!$E$29</f>
        <v>10.45</v>
      </c>
      <c r="AD21" s="5">
        <f>AC21+'01 Assumptions'!$E$29</f>
        <v>10.8</v>
      </c>
      <c r="AE21" s="5">
        <f>AD21+'01 Assumptions'!$E$29</f>
        <v>11.15</v>
      </c>
      <c r="AF21" s="5">
        <f>AE21+'01 Assumptions'!$E$29</f>
        <v>11.5</v>
      </c>
      <c r="AG21" s="5">
        <f>AF21+'01 Assumptions'!$E$29</f>
        <v>11.85</v>
      </c>
      <c r="AH21" s="5">
        <f>AG21+'01 Assumptions'!$E$29</f>
        <v>12.2</v>
      </c>
      <c r="AI21" s="5">
        <f>AH21+'01 Assumptions'!$E$29</f>
        <v>12.55</v>
      </c>
      <c r="AJ21" s="5">
        <f>AI21+'01 Assumptions'!$E$29</f>
        <v>12.9</v>
      </c>
      <c r="AK21" s="5">
        <f>AJ21+'01 Assumptions'!$E$29</f>
        <v>13.25</v>
      </c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2">
    <mergeCell ref="A1:AK1"/>
    <mergeCell ref="A2:AK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topLeftCell="C4" workbookViewId="0">
      <selection activeCell="B6" sqref="B6:M6"/>
    </sheetView>
  </sheetViews>
  <sheetFormatPr defaultColWidth="9" defaultRowHeight="14"/>
  <cols>
    <col min="1" max="1" width="34" customWidth="1"/>
    <col min="2" max="37" width="13" customWidth="1"/>
  </cols>
  <sheetData>
    <row r="1" ht="30" customHeight="1" spans="1:37">
      <c r="A1" s="1" t="s">
        <v>11</v>
      </c>
    </row>
    <row r="2" ht="30" customHeight="1" spans="1:37">
      <c r="A2" s="2" t="s">
        <v>205</v>
      </c>
    </row>
    <row r="5" spans="1:37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166</v>
      </c>
      <c r="P5" s="3" t="s">
        <v>167</v>
      </c>
      <c r="Q5" s="3" t="s">
        <v>168</v>
      </c>
      <c r="R5" s="3" t="s">
        <v>169</v>
      </c>
      <c r="S5" s="3" t="s">
        <v>170</v>
      </c>
      <c r="T5" s="3" t="s">
        <v>171</v>
      </c>
      <c r="U5" s="3" t="s">
        <v>172</v>
      </c>
      <c r="V5" s="3" t="s">
        <v>173</v>
      </c>
      <c r="W5" s="3" t="s">
        <v>174</v>
      </c>
      <c r="X5" s="3" t="s">
        <v>175</v>
      </c>
      <c r="Y5" s="3" t="s">
        <v>176</v>
      </c>
      <c r="Z5" s="3" t="s">
        <v>177</v>
      </c>
      <c r="AA5" s="3" t="s">
        <v>178</v>
      </c>
      <c r="AB5" s="3" t="s">
        <v>179</v>
      </c>
      <c r="AC5" s="3" t="s">
        <v>180</v>
      </c>
      <c r="AD5" s="3" t="s">
        <v>181</v>
      </c>
      <c r="AE5" s="3" t="s">
        <v>182</v>
      </c>
      <c r="AF5" s="3" t="s">
        <v>183</v>
      </c>
      <c r="AG5" s="3" t="s">
        <v>184</v>
      </c>
      <c r="AH5" s="3" t="s">
        <v>185</v>
      </c>
      <c r="AI5" s="3" t="s">
        <v>186</v>
      </c>
      <c r="AJ5" s="3" t="s">
        <v>187</v>
      </c>
      <c r="AK5" s="3" t="s">
        <v>188</v>
      </c>
    </row>
    <row r="6" spans="1:37">
      <c r="A6" s="24" t="s">
        <v>206</v>
      </c>
      <c r="B6" s="6">
        <f>'02 User Forecast'!B12*'01 Assumptions'!$E$11</f>
        <v>1925700</v>
      </c>
      <c r="C6" s="6">
        <f>'02 User Forecast'!C12*'01 Assumptions'!$E$11</f>
        <v>2902000.5</v>
      </c>
      <c r="D6" s="6">
        <f>'02 User Forecast'!D12*'01 Assumptions'!$E$11</f>
        <v>3911970.9825</v>
      </c>
      <c r="E6" s="6">
        <f>'02 User Forecast'!E12*'01 Assumptions'!$E$11</f>
        <v>4958842.6306125</v>
      </c>
      <c r="F6" s="6">
        <f>'02 User Forecast'!F12*'01 Assumptions'!$E$11</f>
        <v>6046020.16215356</v>
      </c>
      <c r="G6" s="6">
        <f>'02 User Forecast'!G12*'01 Assumptions'!$E$11</f>
        <v>7177094.3866255</v>
      </c>
      <c r="H6" s="6">
        <f>'02 User Forecast'!H12*'01 Assumptions'!$E$11</f>
        <v>8355855.5337005</v>
      </c>
      <c r="I6" s="6">
        <f>'02 User Forecast'!I12*'01 Assumptions'!$E$11</f>
        <v>9586307.40491731</v>
      </c>
      <c r="J6" s="6">
        <f>'02 User Forecast'!J12*'01 Assumptions'!$E$11</f>
        <v>10872682.4036098</v>
      </c>
      <c r="K6" s="6">
        <f>'02 User Forecast'!K12*'01 Assumptions'!$E$11</f>
        <v>12219457.5016093</v>
      </c>
      <c r="L6" s="6">
        <f>'02 User Forecast'!L12*'01 Assumptions'!$E$11</f>
        <v>13631371.2050169</v>
      </c>
      <c r="M6" s="6">
        <f>'02 User Forecast'!M12*'01 Assumptions'!$E$11</f>
        <v>15113441.5853429</v>
      </c>
      <c r="N6" s="6">
        <f>'02 User Forecast'!N12*'01 Assumptions'!$E$11</f>
        <v>16670985.4465702</v>
      </c>
      <c r="O6" s="6">
        <f>'02 User Forecast'!O12*'01 Assumptions'!$E$11</f>
        <v>18309638.7032409</v>
      </c>
      <c r="P6" s="6">
        <f>'02 User Forecast'!P12*'01 Assumptions'!$E$11</f>
        <v>20035378.0495027</v>
      </c>
      <c r="Q6" s="6">
        <f>'02 User Forecast'!Q12*'01 Assumptions'!$E$11</f>
        <v>21854544.0042022</v>
      </c>
      <c r="R6" s="6">
        <f>'02 User Forecast'!R12*'01 Assumptions'!$E$11</f>
        <v>23773865.4226053</v>
      </c>
      <c r="S6" s="6">
        <f>'02 User Forecast'!S12*'01 Assumptions'!$E$11</f>
        <v>25800485.57117</v>
      </c>
      <c r="T6" s="6">
        <f>'02 User Forecast'!T12*'01 Assumptions'!$E$11</f>
        <v>27941989.8680281</v>
      </c>
      <c r="U6" s="6">
        <f>'02 User Forecast'!U12*'01 Assumptions'!$E$11</f>
        <v>30206435.3984664</v>
      </c>
      <c r="V6" s="6">
        <f>'02 User Forecast'!V12*'01 Assumptions'!$E$11</f>
        <v>32602382.3217676</v>
      </c>
      <c r="W6" s="6">
        <f>'02 User Forecast'!W12*'01 Assumptions'!$E$11</f>
        <v>35138927.2932994</v>
      </c>
      <c r="X6" s="6">
        <f>'02 User Forecast'!X12*'01 Assumptions'!$E$11</f>
        <v>37825739.0337591</v>
      </c>
      <c r="Y6" s="6">
        <f>'02 User Forecast'!Y12*'01 Assumptions'!$E$11</f>
        <v>40673096.1860249</v>
      </c>
      <c r="Z6" s="6">
        <f>'02 User Forecast'!Z12*'01 Assumptions'!$E$11</f>
        <v>43691927.6091604</v>
      </c>
      <c r="AA6" s="6">
        <f>'02 User Forecast'!AA12*'01 Assumptions'!$E$11</f>
        <v>46893855.2688132</v>
      </c>
      <c r="AB6" s="6">
        <f>'02 User Forecast'!AB12*'01 Assumptions'!$E$11</f>
        <v>50291239.8935664</v>
      </c>
      <c r="AC6" s="6">
        <f>'02 User Forecast'!AC12*'01 Assumptions'!$E$11</f>
        <v>53897229.5777988</v>
      </c>
      <c r="AD6" s="6">
        <f>'02 User Forecast'!AD12*'01 Assumptions'!$E$11</f>
        <v>57725811.523316</v>
      </c>
      <c r="AE6" s="6">
        <f>'02 User Forecast'!AE12*'01 Assumptions'!$E$11</f>
        <v>61791867.1244882</v>
      </c>
      <c r="AF6" s="6">
        <f>'02 User Forecast'!AF12*'01 Assumptions'!$E$11</f>
        <v>66111230.6149112</v>
      </c>
      <c r="AG6" s="6">
        <f>'02 User Forecast'!AG12*'01 Assumptions'!$E$11</f>
        <v>70700751.507755</v>
      </c>
      <c r="AH6" s="6">
        <f>'02 User Forecast'!AH12*'01 Assumptions'!$E$11</f>
        <v>75578361.0770331</v>
      </c>
      <c r="AI6" s="6">
        <f>'02 User Forecast'!AI12*'01 Assumptions'!$E$11</f>
        <v>80763143.1430697</v>
      </c>
      <c r="AJ6" s="6">
        <f>'02 User Forecast'!AJ12*'01 Assumptions'!$E$11</f>
        <v>86275409.4425375</v>
      </c>
      <c r="AK6" s="6">
        <f>'02 User Forecast'!AK12*'01 Assumptions'!$E$11</f>
        <v>92136779.88164</v>
      </c>
    </row>
    <row r="7" spans="1:37">
      <c r="A7" s="24" t="s">
        <v>207</v>
      </c>
      <c r="B7" s="6">
        <f>'02 User Forecast'!B12*'01 Assumptions'!$E$12</f>
        <v>171937.5</v>
      </c>
      <c r="C7" s="6">
        <f>'02 User Forecast'!C12*'01 Assumptions'!$E$12</f>
        <v>259107.1875</v>
      </c>
      <c r="D7" s="6">
        <f>'02 User Forecast'!D12*'01 Assumptions'!$E$12</f>
        <v>349283.1234375</v>
      </c>
      <c r="E7" s="6">
        <f>'02 User Forecast'!E12*'01 Assumptions'!$E$12</f>
        <v>442753.806304688</v>
      </c>
      <c r="F7" s="6">
        <f>'02 User Forecast'!F12*'01 Assumptions'!$E$12</f>
        <v>539823.228763711</v>
      </c>
      <c r="G7" s="6">
        <f>'02 User Forecast'!G12*'01 Assumptions'!$E$12</f>
        <v>640811.998805848</v>
      </c>
      <c r="H7" s="6">
        <f>'02 User Forecast'!H12*'01 Assumptions'!$E$12</f>
        <v>746058.529794687</v>
      </c>
      <c r="I7" s="6">
        <f>'02 User Forecast'!I12*'01 Assumptions'!$E$12</f>
        <v>855920.304010474</v>
      </c>
      <c r="J7" s="6">
        <f>'02 User Forecast'!J12*'01 Assumptions'!$E$12</f>
        <v>970775.214608018</v>
      </c>
      <c r="K7" s="6">
        <f>'02 User Forecast'!K12*'01 Assumptions'!$E$12</f>
        <v>1091022.99121511</v>
      </c>
      <c r="L7" s="6">
        <f>'02 User Forecast'!L12*'01 Assumptions'!$E$12</f>
        <v>1217086.71473365</v>
      </c>
      <c r="M7" s="6">
        <f>'02 User Forecast'!M12*'01 Assumptions'!$E$12</f>
        <v>1349414.42726276</v>
      </c>
      <c r="N7" s="6">
        <f>'02 User Forecast'!N12*'01 Assumptions'!$E$12</f>
        <v>1488480.84344377</v>
      </c>
      <c r="O7" s="6">
        <f>'02 User Forecast'!O12*'01 Assumptions'!$E$12</f>
        <v>1634789.16993222</v>
      </c>
      <c r="P7" s="6">
        <f>'02 User Forecast'!P12*'01 Assumptions'!$E$12</f>
        <v>1788873.04013417</v>
      </c>
      <c r="Q7" s="6">
        <f>'02 User Forecast'!Q12*'01 Assumptions'!$E$12</f>
        <v>1951298.57180376</v>
      </c>
      <c r="R7" s="6">
        <f>'02 User Forecast'!R12*'01 Assumptions'!$E$12</f>
        <v>2122666.55558976</v>
      </c>
      <c r="S7" s="6">
        <f>'02 User Forecast'!S12*'01 Assumptions'!$E$12</f>
        <v>2303614.78314018</v>
      </c>
      <c r="T7" s="6">
        <f>'02 User Forecast'!T12*'01 Assumptions'!$E$12</f>
        <v>2494820.52393108</v>
      </c>
      <c r="U7" s="6">
        <f>'02 User Forecast'!U12*'01 Assumptions'!$E$12</f>
        <v>2697003.16057736</v>
      </c>
      <c r="V7" s="6">
        <f>'02 User Forecast'!V12*'01 Assumptions'!$E$12</f>
        <v>2910926.99301497</v>
      </c>
      <c r="W7" s="6">
        <f>'02 User Forecast'!W12*'01 Assumptions'!$E$12</f>
        <v>3137404.22261602</v>
      </c>
      <c r="X7" s="6">
        <f>'02 User Forecast'!X12*'01 Assumptions'!$E$12</f>
        <v>3377298.1280142</v>
      </c>
      <c r="Y7" s="6">
        <f>'02 User Forecast'!Y12*'01 Assumptions'!$E$12</f>
        <v>3631526.44518079</v>
      </c>
      <c r="Z7" s="6">
        <f>'02 User Forecast'!Z12*'01 Assumptions'!$E$12</f>
        <v>3901064.96510361</v>
      </c>
      <c r="AA7" s="6">
        <f>'02 User Forecast'!AA12*'01 Assumptions'!$E$12</f>
        <v>4186951.36328689</v>
      </c>
      <c r="AB7" s="6">
        <f>'02 User Forecast'!AB12*'01 Assumptions'!$E$12</f>
        <v>4490289.27621129</v>
      </c>
      <c r="AC7" s="6">
        <f>'02 User Forecast'!AC12*'01 Assumptions'!$E$12</f>
        <v>4812252.64087489</v>
      </c>
      <c r="AD7" s="6">
        <f>'02 User Forecast'!AD12*'01 Assumptions'!$E$12</f>
        <v>5154090.31458179</v>
      </c>
      <c r="AE7" s="6">
        <f>'02 User Forecast'!AE12*'01 Assumptions'!$E$12</f>
        <v>5517130.99325788</v>
      </c>
      <c r="AF7" s="6">
        <f>'02 User Forecast'!AF12*'01 Assumptions'!$E$12</f>
        <v>5902788.44775993</v>
      </c>
      <c r="AG7" s="6">
        <f>'02 User Forecast'!AG12*'01 Assumptions'!$E$12</f>
        <v>6312567.0989067</v>
      </c>
      <c r="AH7" s="6">
        <f>'02 User Forecast'!AH12*'01 Assumptions'!$E$12</f>
        <v>6748067.95330653</v>
      </c>
      <c r="AI7" s="6">
        <f>'02 User Forecast'!AI12*'01 Assumptions'!$E$12</f>
        <v>7210994.92348836</v>
      </c>
      <c r="AJ7" s="6">
        <f>'02 User Forecast'!AJ12*'01 Assumptions'!$E$12</f>
        <v>7703161.55736942</v>
      </c>
      <c r="AK7" s="6">
        <f>'02 User Forecast'!AK12*'01 Assumptions'!$E$12</f>
        <v>8226498.20371786</v>
      </c>
    </row>
    <row r="8" spans="1:37">
      <c r="A8" s="24" t="s">
        <v>208</v>
      </c>
      <c r="B8" s="6">
        <f>'02 User Forecast'!B18*'01 Assumptions'!$E$16</f>
        <v>10500000</v>
      </c>
      <c r="C8" s="6">
        <f>'02 User Forecast'!C18*'01 Assumptions'!$E$16</f>
        <v>11445000</v>
      </c>
      <c r="D8" s="6">
        <f>'02 User Forecast'!D18*'01 Assumptions'!$E$16</f>
        <v>12475050</v>
      </c>
      <c r="E8" s="6">
        <f>'02 User Forecast'!E18*'01 Assumptions'!$E$16</f>
        <v>13597804.5</v>
      </c>
      <c r="F8" s="6">
        <f>'02 User Forecast'!F18*'01 Assumptions'!$E$16</f>
        <v>14821606.905</v>
      </c>
      <c r="G8" s="6">
        <f>'02 User Forecast'!G18*'01 Assumptions'!$E$16</f>
        <v>16155551.52645</v>
      </c>
      <c r="H8" s="6">
        <f>'02 User Forecast'!H18*'01 Assumptions'!$E$16</f>
        <v>17609551.1638305</v>
      </c>
      <c r="I8" s="6">
        <f>'02 User Forecast'!I18*'01 Assumptions'!$E$16</f>
        <v>19194410.7685753</v>
      </c>
      <c r="J8" s="6">
        <f>'02 User Forecast'!J18*'01 Assumptions'!$E$16</f>
        <v>20921907.737747</v>
      </c>
      <c r="K8" s="6">
        <f>'02 User Forecast'!K18*'01 Assumptions'!$E$16</f>
        <v>22804879.4341443</v>
      </c>
      <c r="L8" s="6">
        <f>'02 User Forecast'!L18*'01 Assumptions'!$E$16</f>
        <v>24857318.5832173</v>
      </c>
      <c r="M8" s="6">
        <f>'02 User Forecast'!M18*'01 Assumptions'!$E$16</f>
        <v>27094477.2557068</v>
      </c>
      <c r="N8" s="6">
        <f>'02 User Forecast'!N18*'01 Assumptions'!$E$16</f>
        <v>29532980.2087204</v>
      </c>
      <c r="O8" s="6">
        <f>'02 User Forecast'!O18*'01 Assumptions'!$E$16</f>
        <v>32190948.4275053</v>
      </c>
      <c r="P8" s="6">
        <f>'02 User Forecast'!P18*'01 Assumptions'!$E$16</f>
        <v>35088133.7859807</v>
      </c>
      <c r="Q8" s="6">
        <f>'02 User Forecast'!Q18*'01 Assumptions'!$E$16</f>
        <v>38246065.826719</v>
      </c>
      <c r="R8" s="6">
        <f>'02 User Forecast'!R18*'01 Assumptions'!$E$16</f>
        <v>41688211.7511237</v>
      </c>
      <c r="S8" s="6">
        <f>'02 User Forecast'!S18*'01 Assumptions'!$E$16</f>
        <v>45440150.8087249</v>
      </c>
      <c r="T8" s="6">
        <f>'02 User Forecast'!T18*'01 Assumptions'!$E$16</f>
        <v>49529764.3815101</v>
      </c>
      <c r="U8" s="6">
        <f>'02 User Forecast'!U18*'01 Assumptions'!$E$16</f>
        <v>53987443.175846</v>
      </c>
      <c r="V8" s="6">
        <f>'02 User Forecast'!V18*'01 Assumptions'!$E$16</f>
        <v>58846313.0616721</v>
      </c>
      <c r="W8" s="6">
        <f>'02 User Forecast'!W18*'01 Assumptions'!$E$16</f>
        <v>64142481.2372226</v>
      </c>
      <c r="X8" s="6">
        <f>'02 User Forecast'!X18*'01 Assumptions'!$E$16</f>
        <v>69915304.5485727</v>
      </c>
      <c r="Y8" s="6">
        <f>'02 User Forecast'!Y18*'01 Assumptions'!$E$16</f>
        <v>76207681.9579442</v>
      </c>
      <c r="Z8" s="6">
        <f>'02 User Forecast'!Z18*'01 Assumptions'!$E$16</f>
        <v>83066373.3341592</v>
      </c>
      <c r="AA8" s="6">
        <f>'02 User Forecast'!AA18*'01 Assumptions'!$E$16</f>
        <v>90542346.9342336</v>
      </c>
      <c r="AB8" s="6">
        <f>'02 User Forecast'!AB18*'01 Assumptions'!$E$16</f>
        <v>98691158.1583146</v>
      </c>
      <c r="AC8" s="6">
        <f>'02 User Forecast'!AC18*'01 Assumptions'!$E$16</f>
        <v>107573362.392563</v>
      </c>
      <c r="AD8" s="6">
        <f>'02 User Forecast'!AD18*'01 Assumptions'!$E$16</f>
        <v>117254965.007894</v>
      </c>
      <c r="AE8" s="6">
        <f>'02 User Forecast'!AE18*'01 Assumptions'!$E$16</f>
        <v>127807911.858604</v>
      </c>
      <c r="AF8" s="6">
        <f>'02 User Forecast'!AF18*'01 Assumptions'!$E$16</f>
        <v>139310623.925878</v>
      </c>
      <c r="AG8" s="6">
        <f>'02 User Forecast'!AG18*'01 Assumptions'!$E$16</f>
        <v>151848580.079207</v>
      </c>
      <c r="AH8" s="6">
        <f>'02 User Forecast'!AH18*'01 Assumptions'!$E$16</f>
        <v>165514952.286336</v>
      </c>
      <c r="AI8" s="6">
        <f>'02 User Forecast'!AI18*'01 Assumptions'!$E$16</f>
        <v>180411297.992106</v>
      </c>
      <c r="AJ8" s="6">
        <f>'02 User Forecast'!AJ18*'01 Assumptions'!$E$16</f>
        <v>196648314.811396</v>
      </c>
      <c r="AK8" s="6">
        <f>'02 User Forecast'!AK18*'01 Assumptions'!$E$16</f>
        <v>214346663.144422</v>
      </c>
    </row>
    <row r="9" spans="1:37">
      <c r="A9" s="24" t="s">
        <v>209</v>
      </c>
      <c r="B9" s="6">
        <f>B8*'01 Assumptions'!$E$17</f>
        <v>1260000</v>
      </c>
      <c r="C9" s="6">
        <f>C8*'01 Assumptions'!$E$17</f>
        <v>1373400</v>
      </c>
      <c r="D9" s="6">
        <f>D8*'01 Assumptions'!$E$17</f>
        <v>1497006</v>
      </c>
      <c r="E9" s="6">
        <f>E8*'01 Assumptions'!$E$17</f>
        <v>1631736.54</v>
      </c>
      <c r="F9" s="6">
        <f>F8*'01 Assumptions'!$E$17</f>
        <v>1778592.8286</v>
      </c>
      <c r="G9" s="6">
        <f>G8*'01 Assumptions'!$E$17</f>
        <v>1938666.183174</v>
      </c>
      <c r="H9" s="6">
        <f>H8*'01 Assumptions'!$E$17</f>
        <v>2113146.13965966</v>
      </c>
      <c r="I9" s="6">
        <f>I8*'01 Assumptions'!$E$17</f>
        <v>2303329.29222903</v>
      </c>
      <c r="J9" s="6">
        <f>J8*'01 Assumptions'!$E$17</f>
        <v>2510628.92852964</v>
      </c>
      <c r="K9" s="6">
        <f>K8*'01 Assumptions'!$E$17</f>
        <v>2736585.53209731</v>
      </c>
      <c r="L9" s="6">
        <f>L8*'01 Assumptions'!$E$17</f>
        <v>2982878.22998607</v>
      </c>
      <c r="M9" s="6">
        <f>M8*'01 Assumptions'!$E$17</f>
        <v>3251337.27068482</v>
      </c>
      <c r="N9" s="6">
        <f>N8*'01 Assumptions'!$E$17</f>
        <v>3543957.62504645</v>
      </c>
      <c r="O9" s="6">
        <f>O8*'01 Assumptions'!$E$17</f>
        <v>3862913.81130063</v>
      </c>
      <c r="P9" s="6">
        <f>P8*'01 Assumptions'!$E$17</f>
        <v>4210576.05431769</v>
      </c>
      <c r="Q9" s="6">
        <f>Q8*'01 Assumptions'!$E$17</f>
        <v>4589527.89920628</v>
      </c>
      <c r="R9" s="6">
        <f>R8*'01 Assumptions'!$E$17</f>
        <v>5002585.41013485</v>
      </c>
      <c r="S9" s="6">
        <f>S8*'01 Assumptions'!$E$17</f>
        <v>5452818.09704698</v>
      </c>
      <c r="T9" s="6">
        <f>T8*'01 Assumptions'!$E$17</f>
        <v>5943571.72578121</v>
      </c>
      <c r="U9" s="6">
        <f>U8*'01 Assumptions'!$E$17</f>
        <v>6478493.18110152</v>
      </c>
      <c r="V9" s="6">
        <f>V8*'01 Assumptions'!$E$17</f>
        <v>7061557.56740066</v>
      </c>
      <c r="W9" s="6">
        <f>W8*'01 Assumptions'!$E$17</f>
        <v>7697097.74846672</v>
      </c>
      <c r="X9" s="6">
        <f>X8*'01 Assumptions'!$E$17</f>
        <v>8389836.54582872</v>
      </c>
      <c r="Y9" s="6">
        <f>Y8*'01 Assumptions'!$E$17</f>
        <v>9144921.83495331</v>
      </c>
      <c r="Z9" s="6">
        <f>Z8*'01 Assumptions'!$E$17</f>
        <v>9967964.80009911</v>
      </c>
      <c r="AA9" s="6">
        <f>AA8*'01 Assumptions'!$E$17</f>
        <v>10865081.632108</v>
      </c>
      <c r="AB9" s="6">
        <f>AB8*'01 Assumptions'!$E$17</f>
        <v>11842938.9789978</v>
      </c>
      <c r="AC9" s="6">
        <f>AC8*'01 Assumptions'!$E$17</f>
        <v>12908803.4871076</v>
      </c>
      <c r="AD9" s="6">
        <f>AD8*'01 Assumptions'!$E$17</f>
        <v>14070595.8009472</v>
      </c>
      <c r="AE9" s="6">
        <f>AE8*'01 Assumptions'!$E$17</f>
        <v>15336949.4230325</v>
      </c>
      <c r="AF9" s="6">
        <f>AF8*'01 Assumptions'!$E$17</f>
        <v>16717274.8711054</v>
      </c>
      <c r="AG9" s="6">
        <f>AG8*'01 Assumptions'!$E$17</f>
        <v>18221829.6095049</v>
      </c>
      <c r="AH9" s="6">
        <f>AH8*'01 Assumptions'!$E$17</f>
        <v>19861794.2743603</v>
      </c>
      <c r="AI9" s="6">
        <f>AI8*'01 Assumptions'!$E$17</f>
        <v>21649355.7590528</v>
      </c>
      <c r="AJ9" s="6">
        <f>AJ8*'01 Assumptions'!$E$17</f>
        <v>23597797.7773675</v>
      </c>
      <c r="AK9" s="6">
        <f>AK8*'01 Assumptions'!$E$17</f>
        <v>25721599.5773306</v>
      </c>
    </row>
    <row r="10" spans="1:37">
      <c r="A10" s="24" t="s">
        <v>210</v>
      </c>
      <c r="B10" s="6">
        <f>'02 User Forecast'!B19*'01 Assumptions'!$E$20</f>
        <v>500000</v>
      </c>
      <c r="C10" s="6">
        <f>'02 User Forecast'!C19*'01 Assumptions'!$E$20</f>
        <v>550000</v>
      </c>
      <c r="D10" s="6">
        <f>'02 User Forecast'!D19*'01 Assumptions'!$E$20</f>
        <v>605000</v>
      </c>
      <c r="E10" s="6">
        <f>'02 User Forecast'!E19*'01 Assumptions'!$E$20</f>
        <v>665500</v>
      </c>
      <c r="F10" s="6">
        <f>'02 User Forecast'!F19*'01 Assumptions'!$E$20</f>
        <v>732050</v>
      </c>
      <c r="G10" s="6">
        <f>'02 User Forecast'!G19*'01 Assumptions'!$E$20</f>
        <v>805255</v>
      </c>
      <c r="H10" s="6">
        <f>'02 User Forecast'!H19*'01 Assumptions'!$E$20</f>
        <v>885780.5</v>
      </c>
      <c r="I10" s="6">
        <f>'02 User Forecast'!I19*'01 Assumptions'!$E$20</f>
        <v>974358.55</v>
      </c>
      <c r="J10" s="6">
        <f>'02 User Forecast'!J19*'01 Assumptions'!$E$20</f>
        <v>1071794.405</v>
      </c>
      <c r="K10" s="6">
        <f>'02 User Forecast'!K19*'01 Assumptions'!$E$20</f>
        <v>1178973.8455</v>
      </c>
      <c r="L10" s="6">
        <f>'02 User Forecast'!L19*'01 Assumptions'!$E$20</f>
        <v>1296871.23005</v>
      </c>
      <c r="M10" s="6">
        <f>'02 User Forecast'!M19*'01 Assumptions'!$E$20</f>
        <v>1426558.353055</v>
      </c>
      <c r="N10" s="6">
        <f>'02 User Forecast'!N19*'01 Assumptions'!$E$20</f>
        <v>1569214.1883605</v>
      </c>
      <c r="O10" s="6">
        <f>'02 User Forecast'!O19*'01 Assumptions'!$E$20</f>
        <v>1726135.60719655</v>
      </c>
      <c r="P10" s="6">
        <f>'02 User Forecast'!P19*'01 Assumptions'!$E$20</f>
        <v>1898749.16791621</v>
      </c>
      <c r="Q10" s="6">
        <f>'02 User Forecast'!Q19*'01 Assumptions'!$E$20</f>
        <v>2088624.08470783</v>
      </c>
      <c r="R10" s="6">
        <f>'02 User Forecast'!R19*'01 Assumptions'!$E$20</f>
        <v>2297486.49317861</v>
      </c>
      <c r="S10" s="6">
        <f>'02 User Forecast'!S19*'01 Assumptions'!$E$20</f>
        <v>2527235.14249647</v>
      </c>
      <c r="T10" s="6">
        <f>'02 User Forecast'!T19*'01 Assumptions'!$E$20</f>
        <v>2779958.65674612</v>
      </c>
      <c r="U10" s="6">
        <f>'02 User Forecast'!U19*'01 Assumptions'!$E$20</f>
        <v>3057954.52242073</v>
      </c>
      <c r="V10" s="6">
        <f>'02 User Forecast'!V19*'01 Assumptions'!$E$20</f>
        <v>3363749.9746628</v>
      </c>
      <c r="W10" s="6">
        <f>'02 User Forecast'!W19*'01 Assumptions'!$E$20</f>
        <v>3700124.97212908</v>
      </c>
      <c r="X10" s="6">
        <f>'02 User Forecast'!X19*'01 Assumptions'!$E$20</f>
        <v>4070137.46934199</v>
      </c>
      <c r="Y10" s="6">
        <f>'02 User Forecast'!Y19*'01 Assumptions'!$E$20</f>
        <v>4477151.21627619</v>
      </c>
      <c r="Z10" s="6">
        <f>'02 User Forecast'!Z19*'01 Assumptions'!$E$20</f>
        <v>4924866.33790381</v>
      </c>
      <c r="AA10" s="6">
        <f>'02 User Forecast'!AA19*'01 Assumptions'!$E$20</f>
        <v>5417352.97169419</v>
      </c>
      <c r="AB10" s="6">
        <f>'02 User Forecast'!AB19*'01 Assumptions'!$E$20</f>
        <v>5959088.26886361</v>
      </c>
      <c r="AC10" s="6">
        <f>'02 User Forecast'!AC19*'01 Assumptions'!$E$20</f>
        <v>6554997.09574998</v>
      </c>
      <c r="AD10" s="6">
        <f>'02 User Forecast'!AD19*'01 Assumptions'!$E$20</f>
        <v>7210496.80532497</v>
      </c>
      <c r="AE10" s="6">
        <f>'02 User Forecast'!AE19*'01 Assumptions'!$E$20</f>
        <v>7931546.48585747</v>
      </c>
      <c r="AF10" s="6">
        <f>'02 User Forecast'!AF19*'01 Assumptions'!$E$20</f>
        <v>8724701.13444322</v>
      </c>
      <c r="AG10" s="6">
        <f>'02 User Forecast'!AG19*'01 Assumptions'!$E$20</f>
        <v>9597171.24788754</v>
      </c>
      <c r="AH10" s="6">
        <f>'02 User Forecast'!AH19*'01 Assumptions'!$E$20</f>
        <v>10556888.3726763</v>
      </c>
      <c r="AI10" s="6">
        <f>'02 User Forecast'!AI19*'01 Assumptions'!$E$20</f>
        <v>11612577.2099439</v>
      </c>
      <c r="AJ10" s="6">
        <f>'02 User Forecast'!AJ19*'01 Assumptions'!$E$20</f>
        <v>12773834.9309383</v>
      </c>
      <c r="AK10" s="6">
        <f>'02 User Forecast'!AK19*'01 Assumptions'!$E$20</f>
        <v>14051218.4240322</v>
      </c>
    </row>
    <row r="11" spans="1:37">
      <c r="A11" s="24" t="s">
        <v>211</v>
      </c>
      <c r="B11" s="6">
        <f>B10*'01 Assumptions'!$E$21</f>
        <v>200000</v>
      </c>
      <c r="C11" s="6">
        <f>C10*'01 Assumptions'!$E$21</f>
        <v>220000</v>
      </c>
      <c r="D11" s="6">
        <f>D10*'01 Assumptions'!$E$21</f>
        <v>242000</v>
      </c>
      <c r="E11" s="6">
        <f>E10*'01 Assumptions'!$E$21</f>
        <v>266200</v>
      </c>
      <c r="F11" s="6">
        <f>F10*'01 Assumptions'!$E$21</f>
        <v>292820</v>
      </c>
      <c r="G11" s="6">
        <f>G10*'01 Assumptions'!$E$21</f>
        <v>322102</v>
      </c>
      <c r="H11" s="6">
        <f>H10*'01 Assumptions'!$E$21</f>
        <v>354312.2</v>
      </c>
      <c r="I11" s="6">
        <f>I10*'01 Assumptions'!$E$21</f>
        <v>389743.42</v>
      </c>
      <c r="J11" s="6">
        <f>J10*'01 Assumptions'!$E$21</f>
        <v>428717.762</v>
      </c>
      <c r="K11" s="6">
        <f>K10*'01 Assumptions'!$E$21</f>
        <v>471589.5382</v>
      </c>
      <c r="L11" s="6">
        <f>L10*'01 Assumptions'!$E$21</f>
        <v>518748.49202</v>
      </c>
      <c r="M11" s="6">
        <f>M10*'01 Assumptions'!$E$21</f>
        <v>570623.341222</v>
      </c>
      <c r="N11" s="6">
        <f>N10*'01 Assumptions'!$E$21</f>
        <v>627685.6753442</v>
      </c>
      <c r="O11" s="6">
        <f>O10*'01 Assumptions'!$E$21</f>
        <v>690454.242878621</v>
      </c>
      <c r="P11" s="6">
        <f>P10*'01 Assumptions'!$E$21</f>
        <v>759499.667166483</v>
      </c>
      <c r="Q11" s="6">
        <f>Q10*'01 Assumptions'!$E$21</f>
        <v>835449.633883131</v>
      </c>
      <c r="R11" s="6">
        <f>R10*'01 Assumptions'!$E$21</f>
        <v>918994.597271444</v>
      </c>
      <c r="S11" s="6">
        <f>S10*'01 Assumptions'!$E$21</f>
        <v>1010894.05699859</v>
      </c>
      <c r="T11" s="6">
        <f>T10*'01 Assumptions'!$E$21</f>
        <v>1111983.46269845</v>
      </c>
      <c r="U11" s="6">
        <f>U10*'01 Assumptions'!$E$21</f>
        <v>1223181.80896829</v>
      </c>
      <c r="V11" s="6">
        <f>V10*'01 Assumptions'!$E$21</f>
        <v>1345499.98986512</v>
      </c>
      <c r="W11" s="6">
        <f>W10*'01 Assumptions'!$E$21</f>
        <v>1480049.98885163</v>
      </c>
      <c r="X11" s="6">
        <f>X10*'01 Assumptions'!$E$21</f>
        <v>1628054.9877368</v>
      </c>
      <c r="Y11" s="6">
        <f>Y10*'01 Assumptions'!$E$21</f>
        <v>1790860.48651048</v>
      </c>
      <c r="Z11" s="6">
        <f>Z10*'01 Assumptions'!$E$21</f>
        <v>1969946.53516153</v>
      </c>
      <c r="AA11" s="6">
        <f>AA10*'01 Assumptions'!$E$21</f>
        <v>2166941.18867768</v>
      </c>
      <c r="AB11" s="6">
        <f>AB10*'01 Assumptions'!$E$21</f>
        <v>2383635.30754545</v>
      </c>
      <c r="AC11" s="6">
        <f>AC10*'01 Assumptions'!$E$21</f>
        <v>2621998.83829999</v>
      </c>
      <c r="AD11" s="6">
        <f>AD10*'01 Assumptions'!$E$21</f>
        <v>2884198.72212999</v>
      </c>
      <c r="AE11" s="6">
        <f>AE10*'01 Assumptions'!$E$21</f>
        <v>3172618.59434299</v>
      </c>
      <c r="AF11" s="6">
        <f>AF10*'01 Assumptions'!$E$21</f>
        <v>3489880.45377729</v>
      </c>
      <c r="AG11" s="6">
        <f>AG10*'01 Assumptions'!$E$21</f>
        <v>3838868.49915502</v>
      </c>
      <c r="AH11" s="6">
        <f>AH10*'01 Assumptions'!$E$21</f>
        <v>4222755.34907052</v>
      </c>
      <c r="AI11" s="6">
        <f>AI10*'01 Assumptions'!$E$21</f>
        <v>4645030.88397757</v>
      </c>
      <c r="AJ11" s="6">
        <f>AJ10*'01 Assumptions'!$E$21</f>
        <v>5109533.97237533</v>
      </c>
      <c r="AK11" s="6">
        <f>AK10*'01 Assumptions'!$E$21</f>
        <v>5620487.36961286</v>
      </c>
    </row>
    <row r="12" spans="1:37">
      <c r="A12" s="24" t="s">
        <v>212</v>
      </c>
      <c r="B12" s="6">
        <f>'01 Assumptions'!$E$22</f>
        <v>750000</v>
      </c>
      <c r="C12" s="6">
        <f>B12*(1+'01 Assumptions'!$E$23)</f>
        <v>810000</v>
      </c>
      <c r="D12" s="6">
        <f>C12*(1+'01 Assumptions'!$E$23)</f>
        <v>874800</v>
      </c>
      <c r="E12" s="6">
        <f>D12*(1+'01 Assumptions'!$E$23)</f>
        <v>944784</v>
      </c>
      <c r="F12" s="6">
        <f>E12*(1+'01 Assumptions'!$E$23)</f>
        <v>1020366.72</v>
      </c>
      <c r="G12" s="6">
        <f>F12*(1+'01 Assumptions'!$E$23)</f>
        <v>1101996.0576</v>
      </c>
      <c r="H12" s="6">
        <f>G12*(1+'01 Assumptions'!$E$23)</f>
        <v>1190155.742208</v>
      </c>
      <c r="I12" s="6">
        <f>H12*(1+'01 Assumptions'!$E$23)</f>
        <v>1285368.20158464</v>
      </c>
      <c r="J12" s="6">
        <f>I12*(1+'01 Assumptions'!$E$23)</f>
        <v>1388197.65771141</v>
      </c>
      <c r="K12" s="6">
        <f>J12*(1+'01 Assumptions'!$E$23)</f>
        <v>1499253.47032833</v>
      </c>
      <c r="L12" s="6">
        <f>K12*(1+'01 Assumptions'!$E$23)</f>
        <v>1619193.74795459</v>
      </c>
      <c r="M12" s="6">
        <f>L12*(1+'01 Assumptions'!$E$23)</f>
        <v>1748729.24779096</v>
      </c>
      <c r="N12" s="6">
        <f>M12*(1+'01 Assumptions'!$E$23)</f>
        <v>1888627.58761424</v>
      </c>
      <c r="O12" s="6">
        <f>N12*(1+'01 Assumptions'!$E$23)</f>
        <v>2039717.79462337</v>
      </c>
      <c r="P12" s="6">
        <f>O12*(1+'01 Assumptions'!$E$23)</f>
        <v>2202895.21819324</v>
      </c>
      <c r="Q12" s="6">
        <f>P12*(1+'01 Assumptions'!$E$23)</f>
        <v>2379126.8356487</v>
      </c>
      <c r="R12" s="6">
        <f>Q12*(1+'01 Assumptions'!$E$23)</f>
        <v>2569456.9825006</v>
      </c>
      <c r="S12" s="6">
        <f>R12*(1+'01 Assumptions'!$E$23)</f>
        <v>2775013.54110065</v>
      </c>
      <c r="T12" s="6">
        <f>S12*(1+'01 Assumptions'!$E$23)</f>
        <v>2997014.6243887</v>
      </c>
      <c r="U12" s="6">
        <f>T12*(1+'01 Assumptions'!$E$23)</f>
        <v>3236775.7943398</v>
      </c>
      <c r="V12" s="6">
        <f>U12*(1+'01 Assumptions'!$E$23)</f>
        <v>3495717.85788698</v>
      </c>
      <c r="W12" s="6">
        <f>V12*(1+'01 Assumptions'!$E$23)</f>
        <v>3775375.28651794</v>
      </c>
      <c r="X12" s="6">
        <f>W12*(1+'01 Assumptions'!$E$23)</f>
        <v>4077405.30943937</v>
      </c>
      <c r="Y12" s="6">
        <f>X12*(1+'01 Assumptions'!$E$23)</f>
        <v>4403597.73419452</v>
      </c>
      <c r="Z12" s="6">
        <f>Y12*(1+'01 Assumptions'!$E$23)</f>
        <v>4755885.55293009</v>
      </c>
      <c r="AA12" s="6">
        <f>Z12*(1+'01 Assumptions'!$E$23)</f>
        <v>5136356.39716449</v>
      </c>
      <c r="AB12" s="6">
        <f>AA12*(1+'01 Assumptions'!$E$23)</f>
        <v>5547264.90893765</v>
      </c>
      <c r="AC12" s="6">
        <f>AB12*(1+'01 Assumptions'!$E$23)</f>
        <v>5991046.10165267</v>
      </c>
      <c r="AD12" s="6">
        <f>AC12*(1+'01 Assumptions'!$E$23)</f>
        <v>6470329.78978488</v>
      </c>
      <c r="AE12" s="6">
        <f>AD12*(1+'01 Assumptions'!$E$23)</f>
        <v>6987956.17296767</v>
      </c>
      <c r="AF12" s="6">
        <f>AE12*(1+'01 Assumptions'!$E$23)</f>
        <v>7546992.66680508</v>
      </c>
      <c r="AG12" s="6">
        <f>AF12*(1+'01 Assumptions'!$E$23)</f>
        <v>8150752.08014949</v>
      </c>
      <c r="AH12" s="6">
        <f>AG12*(1+'01 Assumptions'!$E$23)</f>
        <v>8802812.24656145</v>
      </c>
      <c r="AI12" s="6">
        <f>AH12*(1+'01 Assumptions'!$E$23)</f>
        <v>9507037.22628637</v>
      </c>
      <c r="AJ12" s="6">
        <f>AI12*(1+'01 Assumptions'!$E$23)</f>
        <v>10267600.2043893</v>
      </c>
      <c r="AK12" s="6">
        <f>AJ12*(1+'01 Assumptions'!$E$23)</f>
        <v>11089008.2207404</v>
      </c>
    </row>
    <row r="13" spans="1:37">
      <c r="A13" s="24" t="s">
        <v>213</v>
      </c>
      <c r="B13" s="6">
        <f>B12*'01 Assumptions'!$E$24</f>
        <v>30000</v>
      </c>
      <c r="C13" s="6">
        <f>C12*'01 Assumptions'!$E$24</f>
        <v>32400</v>
      </c>
      <c r="D13" s="6">
        <f>D12*'01 Assumptions'!$E$24</f>
        <v>34992</v>
      </c>
      <c r="E13" s="6">
        <f>E12*'01 Assumptions'!$E$24</f>
        <v>37791.36</v>
      </c>
      <c r="F13" s="6">
        <f>F12*'01 Assumptions'!$E$24</f>
        <v>40814.6688</v>
      </c>
      <c r="G13" s="6">
        <f>G12*'01 Assumptions'!$E$24</f>
        <v>44079.842304</v>
      </c>
      <c r="H13" s="6">
        <f>H12*'01 Assumptions'!$E$24</f>
        <v>47606.22968832</v>
      </c>
      <c r="I13" s="6">
        <f>I12*'01 Assumptions'!$E$24</f>
        <v>51414.7280633856</v>
      </c>
      <c r="J13" s="6">
        <f>J12*'01 Assumptions'!$E$24</f>
        <v>55527.9063084565</v>
      </c>
      <c r="K13" s="6">
        <f>K12*'01 Assumptions'!$E$24</f>
        <v>59970.138813133</v>
      </c>
      <c r="L13" s="6">
        <f>L12*'01 Assumptions'!$E$24</f>
        <v>64767.7499181836</v>
      </c>
      <c r="M13" s="6">
        <f>M12*'01 Assumptions'!$E$24</f>
        <v>69949.1699116383</v>
      </c>
      <c r="N13" s="6">
        <f>N12*'01 Assumptions'!$E$24</f>
        <v>75545.1035045694</v>
      </c>
      <c r="O13" s="6">
        <f>O12*'01 Assumptions'!$E$24</f>
        <v>81588.711784935</v>
      </c>
      <c r="P13" s="6">
        <f>P12*'01 Assumptions'!$E$24</f>
        <v>88115.8087277298</v>
      </c>
      <c r="Q13" s="6">
        <f>Q12*'01 Assumptions'!$E$24</f>
        <v>95165.0734259482</v>
      </c>
      <c r="R13" s="6">
        <f>R12*'01 Assumptions'!$E$24</f>
        <v>102778.279300024</v>
      </c>
      <c r="S13" s="6">
        <f>S12*'01 Assumptions'!$E$24</f>
        <v>111000.541644026</v>
      </c>
      <c r="T13" s="6">
        <f>T12*'01 Assumptions'!$E$24</f>
        <v>119880.584975548</v>
      </c>
      <c r="U13" s="6">
        <f>U12*'01 Assumptions'!$E$24</f>
        <v>129471.031773592</v>
      </c>
      <c r="V13" s="6">
        <f>V12*'01 Assumptions'!$E$24</f>
        <v>139828.714315479</v>
      </c>
      <c r="W13" s="6">
        <f>W12*'01 Assumptions'!$E$24</f>
        <v>151015.011460718</v>
      </c>
      <c r="X13" s="6">
        <f>X12*'01 Assumptions'!$E$24</f>
        <v>163096.212377575</v>
      </c>
      <c r="Y13" s="6">
        <f>Y12*'01 Assumptions'!$E$24</f>
        <v>176143.909367781</v>
      </c>
      <c r="Z13" s="6">
        <f>Z12*'01 Assumptions'!$E$24</f>
        <v>190235.422117203</v>
      </c>
      <c r="AA13" s="6">
        <f>AA12*'01 Assumptions'!$E$24</f>
        <v>205454.25588658</v>
      </c>
      <c r="AB13" s="6">
        <f>AB12*'01 Assumptions'!$E$24</f>
        <v>221890.596357506</v>
      </c>
      <c r="AC13" s="6">
        <f>AC12*'01 Assumptions'!$E$24</f>
        <v>239641.844066107</v>
      </c>
      <c r="AD13" s="6">
        <f>AD12*'01 Assumptions'!$E$24</f>
        <v>258813.191591395</v>
      </c>
      <c r="AE13" s="6">
        <f>AE12*'01 Assumptions'!$E$24</f>
        <v>279518.246918707</v>
      </c>
      <c r="AF13" s="6">
        <f>AF12*'01 Assumptions'!$E$24</f>
        <v>301879.706672203</v>
      </c>
      <c r="AG13" s="6">
        <f>AG12*'01 Assumptions'!$E$24</f>
        <v>326030.08320598</v>
      </c>
      <c r="AH13" s="6">
        <f>AH12*'01 Assumptions'!$E$24</f>
        <v>352112.489862458</v>
      </c>
      <c r="AI13" s="6">
        <f>AI12*'01 Assumptions'!$E$24</f>
        <v>380281.489051455</v>
      </c>
      <c r="AJ13" s="6">
        <f>AJ12*'01 Assumptions'!$E$24</f>
        <v>410704.008175571</v>
      </c>
      <c r="AK13" s="6">
        <f>AK12*'01 Assumptions'!$E$24</f>
        <v>443560.328829617</v>
      </c>
    </row>
    <row r="14" spans="1:37">
      <c r="A14" s="24" t="s">
        <v>214</v>
      </c>
      <c r="B14" s="6">
        <f>'02 User Forecast'!B20*'01 Assumptions'!$E$27</f>
        <v>900000</v>
      </c>
      <c r="C14" s="6">
        <f>'02 User Forecast'!C20*'01 Assumptions'!$E$27</f>
        <v>1125000</v>
      </c>
      <c r="D14" s="6">
        <f>'02 User Forecast'!D20*'01 Assumptions'!$E$27</f>
        <v>1350000</v>
      </c>
      <c r="E14" s="6">
        <f>'02 User Forecast'!E20*'01 Assumptions'!$E$27</f>
        <v>1575000</v>
      </c>
      <c r="F14" s="6">
        <f>'02 User Forecast'!F20*'01 Assumptions'!$E$27</f>
        <v>1800000</v>
      </c>
      <c r="G14" s="6">
        <f>'02 User Forecast'!G20*'01 Assumptions'!$E$27</f>
        <v>2025000</v>
      </c>
      <c r="H14" s="6">
        <f>'02 User Forecast'!H20*'01 Assumptions'!$E$27</f>
        <v>2250000</v>
      </c>
      <c r="I14" s="6">
        <f>'02 User Forecast'!I20*'01 Assumptions'!$E$27</f>
        <v>2475000</v>
      </c>
      <c r="J14" s="6">
        <f>'02 User Forecast'!J20*'01 Assumptions'!$E$27</f>
        <v>2700000</v>
      </c>
      <c r="K14" s="6">
        <f>'02 User Forecast'!K20*'01 Assumptions'!$E$27</f>
        <v>2925000</v>
      </c>
      <c r="L14" s="6">
        <f>'02 User Forecast'!L20*'01 Assumptions'!$E$27</f>
        <v>3150000</v>
      </c>
      <c r="M14" s="6">
        <f>'02 User Forecast'!M20*'01 Assumptions'!$E$27</f>
        <v>3375000</v>
      </c>
      <c r="N14" s="6">
        <f>'02 User Forecast'!N20*'01 Assumptions'!$E$27</f>
        <v>3600000</v>
      </c>
      <c r="O14" s="6">
        <f>'02 User Forecast'!O20*'01 Assumptions'!$E$27</f>
        <v>3825000</v>
      </c>
      <c r="P14" s="6">
        <f>'02 User Forecast'!P20*'01 Assumptions'!$E$27</f>
        <v>4050000</v>
      </c>
      <c r="Q14" s="6">
        <f>'02 User Forecast'!Q20*'01 Assumptions'!$E$27</f>
        <v>4275000</v>
      </c>
      <c r="R14" s="6">
        <f>'02 User Forecast'!R20*'01 Assumptions'!$E$27</f>
        <v>4500000</v>
      </c>
      <c r="S14" s="6">
        <f>'02 User Forecast'!S20*'01 Assumptions'!$E$27</f>
        <v>4725000</v>
      </c>
      <c r="T14" s="6">
        <f>'02 User Forecast'!T20*'01 Assumptions'!$E$27</f>
        <v>4950000</v>
      </c>
      <c r="U14" s="6">
        <f>'02 User Forecast'!U20*'01 Assumptions'!$E$27</f>
        <v>5175000</v>
      </c>
      <c r="V14" s="6">
        <f>'02 User Forecast'!V20*'01 Assumptions'!$E$27</f>
        <v>5400000</v>
      </c>
      <c r="W14" s="6">
        <f>'02 User Forecast'!W20*'01 Assumptions'!$E$27</f>
        <v>5625000</v>
      </c>
      <c r="X14" s="6">
        <f>'02 User Forecast'!X20*'01 Assumptions'!$E$27</f>
        <v>5850000</v>
      </c>
      <c r="Y14" s="6">
        <f>'02 User Forecast'!Y20*'01 Assumptions'!$E$27</f>
        <v>6075000</v>
      </c>
      <c r="Z14" s="6">
        <f>'02 User Forecast'!Z20*'01 Assumptions'!$E$27</f>
        <v>6300000</v>
      </c>
      <c r="AA14" s="6">
        <f>'02 User Forecast'!AA20*'01 Assumptions'!$E$27</f>
        <v>6525000</v>
      </c>
      <c r="AB14" s="6">
        <f>'02 User Forecast'!AB20*'01 Assumptions'!$E$27</f>
        <v>6750000</v>
      </c>
      <c r="AC14" s="6">
        <f>'02 User Forecast'!AC20*'01 Assumptions'!$E$27</f>
        <v>6975000</v>
      </c>
      <c r="AD14" s="6">
        <f>'02 User Forecast'!AD20*'01 Assumptions'!$E$27</f>
        <v>7200000</v>
      </c>
      <c r="AE14" s="6">
        <f>'02 User Forecast'!AE20*'01 Assumptions'!$E$27</f>
        <v>7425000</v>
      </c>
      <c r="AF14" s="6">
        <f>'02 User Forecast'!AF20*'01 Assumptions'!$E$27</f>
        <v>7650000</v>
      </c>
      <c r="AG14" s="6">
        <f>'02 User Forecast'!AG20*'01 Assumptions'!$E$27</f>
        <v>7875000</v>
      </c>
      <c r="AH14" s="6">
        <f>'02 User Forecast'!AH20*'01 Assumptions'!$E$27</f>
        <v>8100000</v>
      </c>
      <c r="AI14" s="6">
        <f>'02 User Forecast'!AI20*'01 Assumptions'!$E$27</f>
        <v>8325000</v>
      </c>
      <c r="AJ14" s="6">
        <f>'02 User Forecast'!AJ20*'01 Assumptions'!$E$27</f>
        <v>8550000</v>
      </c>
      <c r="AK14" s="6">
        <f>'02 User Forecast'!AK20*'01 Assumptions'!$E$27</f>
        <v>8775000</v>
      </c>
    </row>
    <row r="15" spans="1:37">
      <c r="A15" s="24" t="s">
        <v>215</v>
      </c>
      <c r="B15" s="6">
        <f>'02 User Forecast'!B21*'01 Assumptions'!$E$30</f>
        <v>180000</v>
      </c>
      <c r="C15" s="6">
        <f>'02 User Forecast'!C21*'01 Assumptions'!$E$30</f>
        <v>243000</v>
      </c>
      <c r="D15" s="6">
        <f>'02 User Forecast'!D21*'01 Assumptions'!$E$30</f>
        <v>306000</v>
      </c>
      <c r="E15" s="6">
        <f>'02 User Forecast'!E21*'01 Assumptions'!$E$30</f>
        <v>369000</v>
      </c>
      <c r="F15" s="6">
        <f>'02 User Forecast'!F21*'01 Assumptions'!$E$30</f>
        <v>432000</v>
      </c>
      <c r="G15" s="6">
        <f>'02 User Forecast'!G21*'01 Assumptions'!$E$30</f>
        <v>495000</v>
      </c>
      <c r="H15" s="6">
        <f>'02 User Forecast'!H21*'01 Assumptions'!$E$30</f>
        <v>558000</v>
      </c>
      <c r="I15" s="6">
        <f>'02 User Forecast'!I21*'01 Assumptions'!$E$30</f>
        <v>621000</v>
      </c>
      <c r="J15" s="6">
        <f>'02 User Forecast'!J21*'01 Assumptions'!$E$30</f>
        <v>684000</v>
      </c>
      <c r="K15" s="6">
        <f>'02 User Forecast'!K21*'01 Assumptions'!$E$30</f>
        <v>747000</v>
      </c>
      <c r="L15" s="6">
        <f>'02 User Forecast'!L21*'01 Assumptions'!$E$30</f>
        <v>810000</v>
      </c>
      <c r="M15" s="6">
        <f>'02 User Forecast'!M21*'01 Assumptions'!$E$30</f>
        <v>873000</v>
      </c>
      <c r="N15" s="6">
        <f>'02 User Forecast'!N21*'01 Assumptions'!$E$30</f>
        <v>936000</v>
      </c>
      <c r="O15" s="6">
        <f>'02 User Forecast'!O21*'01 Assumptions'!$E$30</f>
        <v>999000</v>
      </c>
      <c r="P15" s="6">
        <f>'02 User Forecast'!P21*'01 Assumptions'!$E$30</f>
        <v>1062000</v>
      </c>
      <c r="Q15" s="6">
        <f>'02 User Forecast'!Q21*'01 Assumptions'!$E$30</f>
        <v>1125000</v>
      </c>
      <c r="R15" s="6">
        <f>'02 User Forecast'!R21*'01 Assumptions'!$E$30</f>
        <v>1188000</v>
      </c>
      <c r="S15" s="6">
        <f>'02 User Forecast'!S21*'01 Assumptions'!$E$30</f>
        <v>1251000</v>
      </c>
      <c r="T15" s="6">
        <f>'02 User Forecast'!T21*'01 Assumptions'!$E$30</f>
        <v>1314000</v>
      </c>
      <c r="U15" s="6">
        <f>'02 User Forecast'!U21*'01 Assumptions'!$E$30</f>
        <v>1377000</v>
      </c>
      <c r="V15" s="6">
        <f>'02 User Forecast'!V21*'01 Assumptions'!$E$30</f>
        <v>1440000</v>
      </c>
      <c r="W15" s="6">
        <f>'02 User Forecast'!W21*'01 Assumptions'!$E$30</f>
        <v>1503000</v>
      </c>
      <c r="X15" s="6">
        <f>'02 User Forecast'!X21*'01 Assumptions'!$E$30</f>
        <v>1566000</v>
      </c>
      <c r="Y15" s="6">
        <f>'02 User Forecast'!Y21*'01 Assumptions'!$E$30</f>
        <v>1629000</v>
      </c>
      <c r="Z15" s="6">
        <f>'02 User Forecast'!Z21*'01 Assumptions'!$E$30</f>
        <v>1692000</v>
      </c>
      <c r="AA15" s="6">
        <f>'02 User Forecast'!AA21*'01 Assumptions'!$E$30</f>
        <v>1755000</v>
      </c>
      <c r="AB15" s="6">
        <f>'02 User Forecast'!AB21*'01 Assumptions'!$E$30</f>
        <v>1818000</v>
      </c>
      <c r="AC15" s="6">
        <f>'02 User Forecast'!AC21*'01 Assumptions'!$E$30</f>
        <v>1881000</v>
      </c>
      <c r="AD15" s="6">
        <f>'02 User Forecast'!AD21*'01 Assumptions'!$E$30</f>
        <v>1944000</v>
      </c>
      <c r="AE15" s="6">
        <f>'02 User Forecast'!AE21*'01 Assumptions'!$E$30</f>
        <v>2007000</v>
      </c>
      <c r="AF15" s="6">
        <f>'02 User Forecast'!AF21*'01 Assumptions'!$E$30</f>
        <v>2070000</v>
      </c>
      <c r="AG15" s="6">
        <f>'02 User Forecast'!AG21*'01 Assumptions'!$E$30</f>
        <v>2133000</v>
      </c>
      <c r="AH15" s="6">
        <f>'02 User Forecast'!AH21*'01 Assumptions'!$E$30</f>
        <v>2196000</v>
      </c>
      <c r="AI15" s="6">
        <f>'02 User Forecast'!AI21*'01 Assumptions'!$E$30</f>
        <v>2259000</v>
      </c>
      <c r="AJ15" s="6">
        <f>'02 User Forecast'!AJ21*'01 Assumptions'!$E$30</f>
        <v>2322000</v>
      </c>
      <c r="AK15" s="6">
        <f>'02 User Forecast'!AK21*'01 Assumptions'!$E$30</f>
        <v>2385000</v>
      </c>
    </row>
    <row r="16" spans="1:37">
      <c r="A16" s="24" t="s">
        <v>216</v>
      </c>
      <c r="B16" s="6">
        <f>SUM(B6,B7,B9,B11,B13,B14,B15)*'01 Assumptions'!$E$31</f>
        <v>466763.75</v>
      </c>
      <c r="C16" s="6">
        <f>SUM(C6,C7,C9,C11,C13,C14,C15)*'01 Assumptions'!$E$31</f>
        <v>615490.76875</v>
      </c>
      <c r="D16" s="6">
        <f>SUM(D6,D7,D9,D11,D13,D14,D15)*'01 Assumptions'!$E$31</f>
        <v>769125.21059375</v>
      </c>
      <c r="E16" s="6">
        <f>SUM(E6,E7,E9,E11,E13,E14,E15)*'01 Assumptions'!$E$31</f>
        <v>928132.433691719</v>
      </c>
      <c r="F16" s="6">
        <f>SUM(F6,F7,F9,F11,F13,F14,F15)*'01 Assumptions'!$E$31</f>
        <v>1093007.08883173</v>
      </c>
      <c r="G16" s="6">
        <f>SUM(G6,G7,G9,G11,G13,G14,G15)*'01 Assumptions'!$E$31</f>
        <v>1264275.44109094</v>
      </c>
      <c r="H16" s="6">
        <f>SUM(H6,H7,H9,H11,H13,H14,H15)*'01 Assumptions'!$E$31</f>
        <v>1442497.86328432</v>
      </c>
      <c r="I16" s="6">
        <f>SUM(I6,I7,I9,I11,I13,I14,I15)*'01 Assumptions'!$E$31</f>
        <v>1628271.51492202</v>
      </c>
      <c r="J16" s="6">
        <f>SUM(J6,J7,J9,J11,J13,J14,J15)*'01 Assumptions'!$E$31</f>
        <v>1822233.22150559</v>
      </c>
      <c r="K16" s="6">
        <f>SUM(K6,K7,K9,K11,K13,K14,K15)*'01 Assumptions'!$E$31</f>
        <v>2025062.57019348</v>
      </c>
      <c r="L16" s="6">
        <f>SUM(L6,L7,L9,L11,L13,L14,L15)*'01 Assumptions'!$E$31</f>
        <v>2237485.23916748</v>
      </c>
      <c r="M16" s="6">
        <f>SUM(M6,M7,M9,M11,M13,M14,M15)*'01 Assumptions'!$E$31</f>
        <v>2460276.57944242</v>
      </c>
      <c r="N16" s="6">
        <f>SUM(N6,N7,N9,N11,N13,N14,N15)*'01 Assumptions'!$E$31</f>
        <v>2694265.46939092</v>
      </c>
      <c r="O16" s="6">
        <f>SUM(O6,O7,O9,O11,O13,O14,O15)*'01 Assumptions'!$E$31</f>
        <v>2940338.46391373</v>
      </c>
      <c r="P16" s="6">
        <f>SUM(P6,P7,P9,P11,P13,P14,P15)*'01 Assumptions'!$E$31</f>
        <v>3199444.26198487</v>
      </c>
      <c r="Q16" s="6">
        <f>SUM(Q6,Q7,Q9,Q11,Q13,Q14,Q15)*'01 Assumptions'!$E$31</f>
        <v>3472598.51825213</v>
      </c>
      <c r="R16" s="6">
        <f>SUM(R6,R7,R9,R11,R13,R14,R15)*'01 Assumptions'!$E$31</f>
        <v>3760889.02649013</v>
      </c>
      <c r="S16" s="6">
        <f>SUM(S6,S7,S9,S11,S13,S14,S15)*'01 Assumptions'!$E$31</f>
        <v>4065481.30499998</v>
      </c>
      <c r="T16" s="6">
        <f>SUM(T6,T7,T9,T11,T13,T14,T15)*'01 Assumptions'!$E$31</f>
        <v>4387624.61654144</v>
      </c>
      <c r="U16" s="6">
        <f>SUM(U6,U7,U9,U11,U13,U14,U15)*'01 Assumptions'!$E$31</f>
        <v>4728658.45808872</v>
      </c>
      <c r="V16" s="6">
        <f>SUM(V6,V7,V9,V11,V13,V14,V15)*'01 Assumptions'!$E$31</f>
        <v>5090019.55863639</v>
      </c>
      <c r="W16" s="6">
        <f>SUM(W6,W7,W9,W11,W13,W14,W15)*'01 Assumptions'!$E$31</f>
        <v>5473249.42646945</v>
      </c>
      <c r="X16" s="6">
        <f>SUM(X6,X7,X9,X11,X13,X14,X15)*'01 Assumptions'!$E$31</f>
        <v>5880002.49077164</v>
      </c>
      <c r="Y16" s="6">
        <f>SUM(Y6,Y7,Y9,Y11,Y13,Y14,Y15)*'01 Assumptions'!$E$31</f>
        <v>6312054.88620372</v>
      </c>
      <c r="Z16" s="6">
        <f>SUM(Z6,Z7,Z9,Z11,Z13,Z14,Z15)*'01 Assumptions'!$E$31</f>
        <v>6771313.93316418</v>
      </c>
      <c r="AA16" s="6">
        <f>SUM(AA6,AA7,AA9,AA11,AA13,AA14,AA15)*'01 Assumptions'!$E$31</f>
        <v>7259828.37087724</v>
      </c>
      <c r="AB16" s="6">
        <f>SUM(AB6,AB7,AB9,AB11,AB13,AB14,AB15)*'01 Assumptions'!$E$31</f>
        <v>7779799.40526784</v>
      </c>
      <c r="AC16" s="6">
        <f>SUM(AC6,AC7,AC9,AC11,AC13,AC14,AC15)*'01 Assumptions'!$E$31</f>
        <v>8333592.63881474</v>
      </c>
      <c r="AD16" s="6">
        <f>SUM(AD6,AD7,AD9,AD11,AD13,AD14,AD15)*'01 Assumptions'!$E$31</f>
        <v>8923750.95525664</v>
      </c>
      <c r="AE16" s="6">
        <f>SUM(AE6,AE7,AE9,AE11,AE13,AE14,AE15)*'01 Assumptions'!$E$31</f>
        <v>9553008.43820403</v>
      </c>
      <c r="AF16" s="6">
        <f>SUM(AF6,AF7,AF9,AF11,AF13,AF14,AF15)*'01 Assumptions'!$E$31</f>
        <v>10224305.4094226</v>
      </c>
      <c r="AG16" s="6">
        <f>SUM(AG6,AG7,AG9,AG11,AG13,AG14,AG15)*'01 Assumptions'!$E$31</f>
        <v>10940804.6798528</v>
      </c>
      <c r="AH16" s="6">
        <f>SUM(AH6,AH7,AH9,AH11,AH13,AH14,AH15)*'01 Assumptions'!$E$31</f>
        <v>11705909.1143633</v>
      </c>
      <c r="AI16" s="6">
        <f>SUM(AI6,AI7,AI9,AI11,AI13,AI14,AI15)*'01 Assumptions'!$E$31</f>
        <v>12523280.619864</v>
      </c>
      <c r="AJ16" s="6">
        <f>SUM(AJ6,AJ7,AJ9,AJ11,AJ13,AJ14,AJ15)*'01 Assumptions'!$E$31</f>
        <v>13396860.6757825</v>
      </c>
      <c r="AK16" s="6">
        <f>SUM(AK6,AK7,AK9,AK11,AK13,AK14,AK15)*'01 Assumptions'!$E$31</f>
        <v>14330892.5361131</v>
      </c>
    </row>
    <row r="17" spans="1:37">
      <c r="A17" s="24" t="s">
        <v>217</v>
      </c>
      <c r="B17" s="6">
        <f t="shared" ref="B17:AK17" si="0">SUM(B6,B7,B9,B11,B13,B14,B15,B16)</f>
        <v>5134401.25</v>
      </c>
      <c r="C17" s="6">
        <f t="shared" si="0"/>
        <v>6770398.45625</v>
      </c>
      <c r="D17" s="6">
        <f t="shared" si="0"/>
        <v>8460377.31653125</v>
      </c>
      <c r="E17" s="6">
        <f t="shared" si="0"/>
        <v>10209456.7706089</v>
      </c>
      <c r="F17" s="6">
        <f t="shared" si="0"/>
        <v>12023077.977149</v>
      </c>
      <c r="G17" s="6">
        <f t="shared" si="0"/>
        <v>13907029.8520003</v>
      </c>
      <c r="H17" s="6">
        <f t="shared" si="0"/>
        <v>15867476.4961275</v>
      </c>
      <c r="I17" s="6">
        <f t="shared" si="0"/>
        <v>17910986.6641422</v>
      </c>
      <c r="J17" s="6">
        <f t="shared" si="0"/>
        <v>20044565.4365615</v>
      </c>
      <c r="K17" s="6">
        <f t="shared" si="0"/>
        <v>22275688.2721283</v>
      </c>
      <c r="L17" s="6">
        <f t="shared" si="0"/>
        <v>24612337.6308423</v>
      </c>
      <c r="M17" s="6">
        <f t="shared" si="0"/>
        <v>27063042.3738666</v>
      </c>
      <c r="N17" s="6">
        <f t="shared" si="0"/>
        <v>29636920.1633001</v>
      </c>
      <c r="O17" s="6">
        <f t="shared" si="0"/>
        <v>32343723.103051</v>
      </c>
      <c r="P17" s="6">
        <f t="shared" si="0"/>
        <v>35193886.8818336</v>
      </c>
      <c r="Q17" s="6">
        <f t="shared" si="0"/>
        <v>38198583.7007734</v>
      </c>
      <c r="R17" s="6">
        <f t="shared" si="0"/>
        <v>41369779.2913915</v>
      </c>
      <c r="S17" s="6">
        <f t="shared" si="0"/>
        <v>44720294.3549998</v>
      </c>
      <c r="T17" s="6">
        <f t="shared" si="0"/>
        <v>48263870.7819559</v>
      </c>
      <c r="U17" s="6">
        <f t="shared" si="0"/>
        <v>52015243.0389759</v>
      </c>
      <c r="V17" s="6">
        <f t="shared" si="0"/>
        <v>55990215.1450002</v>
      </c>
      <c r="W17" s="6">
        <f t="shared" si="0"/>
        <v>60205743.6911639</v>
      </c>
      <c r="X17" s="6">
        <f t="shared" si="0"/>
        <v>64680027.398488</v>
      </c>
      <c r="Y17" s="6">
        <f t="shared" si="0"/>
        <v>69432603.7482409</v>
      </c>
      <c r="Z17" s="6">
        <f t="shared" si="0"/>
        <v>74484453.264806</v>
      </c>
      <c r="AA17" s="6">
        <f t="shared" si="0"/>
        <v>79858112.0796496</v>
      </c>
      <c r="AB17" s="6">
        <f t="shared" si="0"/>
        <v>85577793.4579462</v>
      </c>
      <c r="AC17" s="6">
        <f t="shared" si="0"/>
        <v>91669519.0269621</v>
      </c>
      <c r="AD17" s="6">
        <f t="shared" si="0"/>
        <v>98161260.5078231</v>
      </c>
      <c r="AE17" s="6">
        <f t="shared" si="0"/>
        <v>105083092.820244</v>
      </c>
      <c r="AF17" s="6">
        <f t="shared" si="0"/>
        <v>112467359.503649</v>
      </c>
      <c r="AG17" s="6">
        <f t="shared" si="0"/>
        <v>120348851.47838</v>
      </c>
      <c r="AH17" s="6">
        <f t="shared" si="0"/>
        <v>128765000.257996</v>
      </c>
      <c r="AI17" s="6">
        <f t="shared" si="0"/>
        <v>137756086.818504</v>
      </c>
      <c r="AJ17" s="6">
        <f t="shared" si="0"/>
        <v>147365467.433608</v>
      </c>
      <c r="AK17" s="6">
        <f t="shared" si="0"/>
        <v>157639817.897244</v>
      </c>
    </row>
    <row r="18" spans="1:37">
      <c r="A18" s="24" t="s">
        <v>218</v>
      </c>
      <c r="B18" s="6">
        <f t="shared" ref="B18:AK18" si="1">SUM(B6,B7,B8,B10,B12,B14,B15)</f>
        <v>14927637.5</v>
      </c>
      <c r="C18" s="6">
        <f t="shared" si="1"/>
        <v>17334107.6875</v>
      </c>
      <c r="D18" s="6">
        <f t="shared" si="1"/>
        <v>19872104.1059375</v>
      </c>
      <c r="E18" s="6">
        <f t="shared" si="1"/>
        <v>22553684.9369172</v>
      </c>
      <c r="F18" s="6">
        <f t="shared" si="1"/>
        <v>25391867.0159173</v>
      </c>
      <c r="G18" s="6">
        <f t="shared" si="1"/>
        <v>28400708.9694814</v>
      </c>
      <c r="H18" s="6">
        <f t="shared" si="1"/>
        <v>31595401.4695337</v>
      </c>
      <c r="I18" s="6">
        <f t="shared" si="1"/>
        <v>34992365.2290877</v>
      </c>
      <c r="J18" s="6">
        <f t="shared" si="1"/>
        <v>38609357.4186763</v>
      </c>
      <c r="K18" s="6">
        <f t="shared" si="1"/>
        <v>42465587.242797</v>
      </c>
      <c r="L18" s="6">
        <f t="shared" si="1"/>
        <v>46581841.4809724</v>
      </c>
      <c r="M18" s="6">
        <f t="shared" si="1"/>
        <v>50980620.8691585</v>
      </c>
      <c r="N18" s="6">
        <f t="shared" si="1"/>
        <v>55686288.2747091</v>
      </c>
      <c r="O18" s="6">
        <f t="shared" si="1"/>
        <v>60725229.7024983</v>
      </c>
      <c r="P18" s="6">
        <f t="shared" si="1"/>
        <v>66126029.261727</v>
      </c>
      <c r="Q18" s="6">
        <f t="shared" si="1"/>
        <v>71919659.3230814</v>
      </c>
      <c r="R18" s="6">
        <f t="shared" si="1"/>
        <v>78139687.2049979</v>
      </c>
      <c r="S18" s="6">
        <f t="shared" si="1"/>
        <v>84822499.8466322</v>
      </c>
      <c r="T18" s="6">
        <f t="shared" si="1"/>
        <v>92007548.0546041</v>
      </c>
      <c r="U18" s="6">
        <f t="shared" si="1"/>
        <v>99737612.0516503</v>
      </c>
      <c r="V18" s="6">
        <f t="shared" si="1"/>
        <v>108059090.209005</v>
      </c>
      <c r="W18" s="6">
        <f t="shared" si="1"/>
        <v>117022313.011785</v>
      </c>
      <c r="X18" s="6">
        <f t="shared" si="1"/>
        <v>126681884.489127</v>
      </c>
      <c r="Y18" s="6">
        <f t="shared" si="1"/>
        <v>137097053.539621</v>
      </c>
      <c r="Z18" s="6">
        <f t="shared" si="1"/>
        <v>148332117.799257</v>
      </c>
      <c r="AA18" s="6">
        <f t="shared" si="1"/>
        <v>160456862.935192</v>
      </c>
      <c r="AB18" s="6">
        <f t="shared" si="1"/>
        <v>173547040.505894</v>
      </c>
      <c r="AC18" s="6">
        <f t="shared" si="1"/>
        <v>187684887.808639</v>
      </c>
      <c r="AD18" s="6">
        <f t="shared" si="1"/>
        <v>202959693.440901</v>
      </c>
      <c r="AE18" s="6">
        <f t="shared" si="1"/>
        <v>219468412.635175</v>
      </c>
      <c r="AF18" s="6">
        <f t="shared" si="1"/>
        <v>237316336.789798</v>
      </c>
      <c r="AG18" s="6">
        <f t="shared" si="1"/>
        <v>256617822.013906</v>
      </c>
      <c r="AH18" s="6">
        <f t="shared" si="1"/>
        <v>277497081.935914</v>
      </c>
      <c r="AI18" s="6">
        <f t="shared" si="1"/>
        <v>300089050.494895</v>
      </c>
      <c r="AJ18" s="6">
        <f t="shared" si="1"/>
        <v>324540320.946631</v>
      </c>
      <c r="AK18" s="6">
        <f t="shared" si="1"/>
        <v>351010167.874552</v>
      </c>
    </row>
    <row r="19" spans="1:37">
      <c r="A19" s="24" t="s">
        <v>219</v>
      </c>
      <c r="B19" s="7">
        <f>0</f>
        <v>0</v>
      </c>
      <c r="C19" s="7">
        <f t="shared" ref="C19:AK19" si="2">IFERROR(C17/B17-1,0)</f>
        <v>0.318634467115323</v>
      </c>
      <c r="D19" s="7">
        <f t="shared" si="2"/>
        <v>0.249612909964135</v>
      </c>
      <c r="E19" s="7">
        <f t="shared" si="2"/>
        <v>0.206737759870357</v>
      </c>
      <c r="F19" s="7">
        <f t="shared" si="2"/>
        <v>0.177641303282773</v>
      </c>
      <c r="G19" s="7">
        <f t="shared" si="2"/>
        <v>0.156694639960908</v>
      </c>
      <c r="H19" s="7">
        <f t="shared" si="2"/>
        <v>0.140968033073231</v>
      </c>
      <c r="I19" s="7">
        <f t="shared" si="2"/>
        <v>0.128786084448493</v>
      </c>
      <c r="J19" s="7">
        <f t="shared" si="2"/>
        <v>0.119121230584729</v>
      </c>
      <c r="K19" s="7">
        <f t="shared" si="2"/>
        <v>0.111308117036909</v>
      </c>
      <c r="L19" s="7">
        <f t="shared" si="2"/>
        <v>0.104896842251005</v>
      </c>
      <c r="M19" s="7">
        <f t="shared" si="2"/>
        <v>0.0995722056060715</v>
      </c>
      <c r="N19" s="7">
        <f t="shared" si="2"/>
        <v>0.0951067420239111</v>
      </c>
      <c r="O19" s="7">
        <f t="shared" si="2"/>
        <v>0.0913321264435172</v>
      </c>
      <c r="P19" s="7">
        <f t="shared" si="2"/>
        <v>0.088121079001994</v>
      </c>
      <c r="Q19" s="7">
        <f t="shared" si="2"/>
        <v>0.0853755320925005</v>
      </c>
      <c r="R19" s="7">
        <f t="shared" si="2"/>
        <v>0.0830186693689861</v>
      </c>
      <c r="S19" s="7">
        <f t="shared" si="2"/>
        <v>0.0809894353075633</v>
      </c>
      <c r="T19" s="7">
        <f t="shared" si="2"/>
        <v>0.0792386650862895</v>
      </c>
      <c r="U19" s="7">
        <f t="shared" si="2"/>
        <v>0.077726303262492</v>
      </c>
      <c r="V19" s="7">
        <f t="shared" si="2"/>
        <v>0.0764193700497722</v>
      </c>
      <c r="W19" s="7">
        <f t="shared" si="2"/>
        <v>0.0752904509340875</v>
      </c>
      <c r="X19" s="7">
        <f t="shared" si="2"/>
        <v>0.0743165590691108</v>
      </c>
      <c r="Y19" s="7">
        <f t="shared" si="2"/>
        <v>0.0734782674174312</v>
      </c>
      <c r="Z19" s="7">
        <f t="shared" si="2"/>
        <v>0.0727590388930657</v>
      </c>
      <c r="AA19" s="7">
        <f t="shared" si="2"/>
        <v>0.0721447037509861</v>
      </c>
      <c r="AB19" s="7">
        <f t="shared" si="2"/>
        <v>0.0716230477949678</v>
      </c>
      <c r="AC19" s="7">
        <f t="shared" si="2"/>
        <v>0.0711834849073245</v>
      </c>
      <c r="AD19" s="7">
        <f t="shared" si="2"/>
        <v>0.0708167943910736</v>
      </c>
      <c r="AE19" s="7">
        <f t="shared" si="2"/>
        <v>0.070514908596448</v>
      </c>
      <c r="AF19" s="7">
        <f t="shared" si="2"/>
        <v>0.0702707398994797</v>
      </c>
      <c r="AG19" s="7">
        <f t="shared" si="2"/>
        <v>0.0700780387262143</v>
      </c>
      <c r="AH19" s="7">
        <f t="shared" si="2"/>
        <v>0.0699312762542463</v>
      </c>
      <c r="AI19" s="7">
        <f t="shared" si="2"/>
        <v>0.0698255468682705</v>
      </c>
      <c r="AJ19" s="7">
        <f t="shared" si="2"/>
        <v>0.0697564865338014</v>
      </c>
      <c r="AK19" s="7">
        <f t="shared" si="2"/>
        <v>0.0697202040787805</v>
      </c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2">
    <mergeCell ref="A1:AK1"/>
    <mergeCell ref="A2:A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topLeftCell="A2" workbookViewId="0">
      <selection activeCell="A19" sqref="A19"/>
    </sheetView>
  </sheetViews>
  <sheetFormatPr defaultColWidth="9" defaultRowHeight="14"/>
  <cols>
    <col min="1" max="1" width="34" customWidth="1"/>
    <col min="2" max="37" width="13" customWidth="1"/>
  </cols>
  <sheetData>
    <row r="1" ht="30" customHeight="1" spans="1:37">
      <c r="A1" s="1" t="s">
        <v>14</v>
      </c>
    </row>
    <row r="2" ht="30" customHeight="1" spans="1:37">
      <c r="A2" s="2" t="s">
        <v>220</v>
      </c>
    </row>
    <row r="5" spans="1:37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166</v>
      </c>
      <c r="P5" s="3" t="s">
        <v>167</v>
      </c>
      <c r="Q5" s="3" t="s">
        <v>168</v>
      </c>
      <c r="R5" s="3" t="s">
        <v>169</v>
      </c>
      <c r="S5" s="3" t="s">
        <v>170</v>
      </c>
      <c r="T5" s="3" t="s">
        <v>171</v>
      </c>
      <c r="U5" s="3" t="s">
        <v>172</v>
      </c>
      <c r="V5" s="3" t="s">
        <v>173</v>
      </c>
      <c r="W5" s="3" t="s">
        <v>174</v>
      </c>
      <c r="X5" s="3" t="s">
        <v>175</v>
      </c>
      <c r="Y5" s="3" t="s">
        <v>176</v>
      </c>
      <c r="Z5" s="3" t="s">
        <v>177</v>
      </c>
      <c r="AA5" s="3" t="s">
        <v>178</v>
      </c>
      <c r="AB5" s="3" t="s">
        <v>179</v>
      </c>
      <c r="AC5" s="3" t="s">
        <v>180</v>
      </c>
      <c r="AD5" s="3" t="s">
        <v>181</v>
      </c>
      <c r="AE5" s="3" t="s">
        <v>182</v>
      </c>
      <c r="AF5" s="3" t="s">
        <v>183</v>
      </c>
      <c r="AG5" s="3" t="s">
        <v>184</v>
      </c>
      <c r="AH5" s="3" t="s">
        <v>185</v>
      </c>
      <c r="AI5" s="3" t="s">
        <v>186</v>
      </c>
      <c r="AJ5" s="3" t="s">
        <v>187</v>
      </c>
      <c r="AK5" s="3" t="s">
        <v>188</v>
      </c>
    </row>
    <row r="6" spans="1:37">
      <c r="A6" s="24" t="s">
        <v>221</v>
      </c>
      <c r="B6" s="6">
        <f>'01 Assumptions'!$E$34*(1+0.01)^0</f>
        <v>1800000</v>
      </c>
      <c r="C6" s="6">
        <f>'01 Assumptions'!$E$34*(1+0.01)^1</f>
        <v>1818000</v>
      </c>
      <c r="D6" s="6">
        <f>'01 Assumptions'!$E$34*(1+0.01)^2</f>
        <v>1836180</v>
      </c>
      <c r="E6" s="6">
        <f>'01 Assumptions'!$E$34*(1+0.01)^3</f>
        <v>1854541.8</v>
      </c>
      <c r="F6" s="6">
        <f>'01 Assumptions'!$E$34*(1+0.01)^4</f>
        <v>1873087.218</v>
      </c>
      <c r="G6" s="6">
        <f>'01 Assumptions'!$E$34*(1+0.01)^5</f>
        <v>1891818.09018</v>
      </c>
      <c r="H6" s="6">
        <f>'01 Assumptions'!$E$34*(1+0.01)^6</f>
        <v>1910736.2710818</v>
      </c>
      <c r="I6" s="6">
        <f>'01 Assumptions'!$E$34*(1+0.01)^7</f>
        <v>1929843.63379262</v>
      </c>
      <c r="J6" s="6">
        <f>'01 Assumptions'!$E$34*(1+0.01)^8</f>
        <v>1949142.07013054</v>
      </c>
      <c r="K6" s="6">
        <f>'01 Assumptions'!$E$34*(1+0.01)^9</f>
        <v>1968633.49083185</v>
      </c>
      <c r="L6" s="6">
        <f>'01 Assumptions'!$E$34*(1+0.01)^10</f>
        <v>1988319.82574017</v>
      </c>
      <c r="M6" s="6">
        <f>'01 Assumptions'!$E$34*(1+0.01)^11</f>
        <v>2008203.02399757</v>
      </c>
      <c r="N6" s="6">
        <f>'01 Assumptions'!$E$34*(1+0.01)^12</f>
        <v>2028285.05423755</v>
      </c>
      <c r="O6" s="6">
        <f>'01 Assumptions'!$E$34*(1+0.01)^13</f>
        <v>2048567.90477992</v>
      </c>
      <c r="P6" s="6">
        <f>'01 Assumptions'!$E$34*(1+0.01)^14</f>
        <v>2069053.58382772</v>
      </c>
      <c r="Q6" s="6">
        <f>'01 Assumptions'!$E$34*(1+0.01)^15</f>
        <v>2089744.119666</v>
      </c>
      <c r="R6" s="6">
        <f>'01 Assumptions'!$E$34*(1+0.01)^16</f>
        <v>2110641.56086266</v>
      </c>
      <c r="S6" s="6">
        <f>'01 Assumptions'!$E$34*(1+0.01)^17</f>
        <v>2131747.97647128</v>
      </c>
      <c r="T6" s="6">
        <f>'01 Assumptions'!$E$34*(1+0.01)^18</f>
        <v>2153065.456236</v>
      </c>
      <c r="U6" s="6">
        <f>'01 Assumptions'!$E$34*(1+0.01)^19</f>
        <v>2174596.11079836</v>
      </c>
      <c r="V6" s="6">
        <f>'01 Assumptions'!$E$34*(1+0.01)^20</f>
        <v>2196342.07190634</v>
      </c>
      <c r="W6" s="6">
        <f>'01 Assumptions'!$E$34*(1+0.01)^21</f>
        <v>2218305.4926254</v>
      </c>
      <c r="X6" s="6">
        <f>'01 Assumptions'!$E$34*(1+0.01)^22</f>
        <v>2240488.54755166</v>
      </c>
      <c r="Y6" s="6">
        <f>'01 Assumptions'!$E$34*(1+0.01)^23</f>
        <v>2262893.43302717</v>
      </c>
      <c r="Z6" s="6">
        <f>'01 Assumptions'!$E$34*(1+0.01)^24</f>
        <v>2285522.36735745</v>
      </c>
      <c r="AA6" s="6">
        <f>'01 Assumptions'!$E$34*(1+0.01)^25</f>
        <v>2308377.59103102</v>
      </c>
      <c r="AB6" s="6">
        <f>'01 Assumptions'!$E$34*(1+0.01)^26</f>
        <v>2331461.36694133</v>
      </c>
      <c r="AC6" s="6">
        <f>'01 Assumptions'!$E$34*(1+0.01)^27</f>
        <v>2354775.98061074</v>
      </c>
      <c r="AD6" s="6">
        <f>'01 Assumptions'!$E$34*(1+0.01)^28</f>
        <v>2378323.74041685</v>
      </c>
      <c r="AE6" s="6">
        <f>'01 Assumptions'!$E$34*(1+0.01)^29</f>
        <v>2402106.97782102</v>
      </c>
      <c r="AF6" s="6">
        <f>'01 Assumptions'!$E$34*(1+0.01)^30</f>
        <v>2426128.04759923</v>
      </c>
      <c r="AG6" s="6">
        <f>'01 Assumptions'!$E$34*(1+0.01)^31</f>
        <v>2450389.32807522</v>
      </c>
      <c r="AH6" s="6">
        <f>'01 Assumptions'!$E$34*(1+0.01)^32</f>
        <v>2474893.22135598</v>
      </c>
      <c r="AI6" s="6">
        <f>'01 Assumptions'!$E$34*(1+0.01)^33</f>
        <v>2499642.15356953</v>
      </c>
      <c r="AJ6" s="6">
        <f>'01 Assumptions'!$E$34*(1+0.01)^34</f>
        <v>2524638.57510523</v>
      </c>
      <c r="AK6" s="6">
        <f>'01 Assumptions'!$E$34*(1+0.01)^35</f>
        <v>2549884.96085628</v>
      </c>
    </row>
    <row r="7" spans="1:37">
      <c r="A7" s="24" t="s">
        <v>222</v>
      </c>
      <c r="B7" s="6">
        <f>'01 Assumptions'!$E$35+'02 User Forecast'!B12*50+'02 User Forecast'!B18*20</f>
        <v>1594387.5</v>
      </c>
      <c r="C7" s="6">
        <f>'01 Assumptions'!$E$35+'02 User Forecast'!C12*50+'02 User Forecast'!C18*20</f>
        <v>1617221.4375</v>
      </c>
      <c r="D7" s="6">
        <f>'01 Assumptions'!$E$35+'02 User Forecast'!D12*50+'02 User Forecast'!D18*20</f>
        <v>1641142.6246875</v>
      </c>
      <c r="E7" s="6">
        <f>'01 Assumptions'!$E$35+'02 User Forecast'!E12*50+'02 User Forecast'!E18*20</f>
        <v>1666252.50126094</v>
      </c>
      <c r="F7" s="6">
        <f>'01 Assumptions'!$E$35+'02 User Forecast'!F12*50+'02 User Forecast'!F18*20</f>
        <v>1692659.54235274</v>
      </c>
      <c r="G7" s="6">
        <f>'01 Assumptions'!$E$35+'02 User Forecast'!G12*50+'02 User Forecast'!G18*20</f>
        <v>1720479.83705517</v>
      </c>
      <c r="H7" s="6">
        <f>'01 Assumptions'!$E$35+'02 User Forecast'!H12*50+'02 User Forecast'!H18*20</f>
        <v>1749837.7126094</v>
      </c>
      <c r="I7" s="6">
        <f>'01 Assumptions'!$E$35+'02 User Forecast'!I12*50+'02 User Forecast'!I18*20</f>
        <v>1780866.4080511</v>
      </c>
      <c r="J7" s="6">
        <f>'01 Assumptions'!$E$35+'02 User Forecast'!J12*50+'02 User Forecast'!J18*20</f>
        <v>1813708.80142302</v>
      </c>
      <c r="K7" s="6">
        <f>'01 Assumptions'!$E$35+'02 User Forecast'!K12*50+'02 User Forecast'!K18*20</f>
        <v>1848518.19500956</v>
      </c>
      <c r="L7" s="6">
        <f>'01 Assumptions'!$E$35+'02 User Forecast'!L12*50+'02 User Forecast'!L18*20</f>
        <v>1885459.16342226</v>
      </c>
      <c r="M7" s="6">
        <f>'01 Assumptions'!$E$35+'02 User Forecast'!M12*50+'02 User Forecast'!M18*20</f>
        <v>1924708.46977088</v>
      </c>
      <c r="N7" s="6">
        <f>'01 Assumptions'!$E$35+'02 User Forecast'!N12*50+'02 User Forecast'!N18*20</f>
        <v>1966456.05559573</v>
      </c>
      <c r="O7" s="6">
        <f>'01 Assumptions'!$E$35+'02 User Forecast'!O12*50+'02 User Forecast'!O18*20</f>
        <v>2010906.11071505</v>
      </c>
      <c r="P7" s="6">
        <f>'01 Assumptions'!$E$35+'02 User Forecast'!P12*50+'02 User Forecast'!P18*20</f>
        <v>2058278.22966101</v>
      </c>
      <c r="Q7" s="6">
        <f>'01 Assumptions'!$E$35+'02 User Forecast'!Q12*50+'02 User Forecast'!Q18*20</f>
        <v>2108808.661942</v>
      </c>
      <c r="R7" s="6">
        <f>'01 Assumptions'!$E$35+'02 User Forecast'!R12*50+'02 User Forecast'!R18*20</f>
        <v>2162751.66398151</v>
      </c>
      <c r="S7" s="6">
        <f>'01 Assumptions'!$E$35+'02 User Forecast'!S12*50+'02 User Forecast'!S18*20</f>
        <v>2220380.96124932</v>
      </c>
      <c r="T7" s="6">
        <f>'01 Assumptions'!$E$35+'02 User Forecast'!T12*50+'02 User Forecast'!T18*20</f>
        <v>2281991.32982342</v>
      </c>
      <c r="U7" s="6">
        <f>'01 Assumptions'!$E$35+'02 User Forecast'!U12*50+'02 User Forecast'!U18*20</f>
        <v>2347900.30740602</v>
      </c>
      <c r="V7" s="6">
        <f>'01 Assumptions'!$E$35+'02 User Forecast'!V12*50+'02 User Forecast'!V18*20</f>
        <v>2418450.04466969</v>
      </c>
      <c r="W7" s="6">
        <f>'01 Assumptions'!$E$35+'02 User Forecast'!W12*50+'02 User Forecast'!W18*20</f>
        <v>2494009.3087359</v>
      </c>
      <c r="X7" s="6">
        <f>'01 Assumptions'!$E$35+'02 User Forecast'!X12*50+'02 User Forecast'!X18*20</f>
        <v>2574975.65159468</v>
      </c>
      <c r="Y7" s="6">
        <f>'01 Assumptions'!$E$35+'02 User Forecast'!Y12*50+'02 User Forecast'!Y18*20</f>
        <v>2661777.75736727</v>
      </c>
      <c r="Z7" s="6">
        <f>'01 Assumptions'!$E$35+'02 User Forecast'!Z12*50+'02 User Forecast'!Z18*20</f>
        <v>2754877.98350163</v>
      </c>
      <c r="AA7" s="6">
        <f>'01 Assumptions'!$E$35+'02 User Forecast'!AA12*50+'02 User Forecast'!AA18*20</f>
        <v>2854775.11228157</v>
      </c>
      <c r="AB7" s="6">
        <f>'01 Assumptions'!$E$35+'02 User Forecast'!AB12*50+'02 User Forecast'!AB18*20</f>
        <v>2962007.33043263</v>
      </c>
      <c r="AC7" s="6">
        <f>'01 Assumptions'!$E$35+'02 User Forecast'!AC12*50+'02 User Forecast'!AC18*20</f>
        <v>3077155.45613248</v>
      </c>
      <c r="AD7" s="6">
        <f>'01 Assumptions'!$E$35+'02 User Forecast'!AD12*50+'02 User Forecast'!AD18*20</f>
        <v>3200846.43439004</v>
      </c>
      <c r="AE7" s="6">
        <f>'01 Assumptions'!$E$35+'02 User Forecast'!AE12*50+'02 User Forecast'!AE18*20</f>
        <v>3333757.12355788</v>
      </c>
      <c r="AF7" s="6">
        <f>'01 Assumptions'!$E$35+'02 User Forecast'!AF12*50+'02 User Forecast'!AF18*20</f>
        <v>3476618.39769986</v>
      </c>
      <c r="AG7" s="6">
        <f>'01 Assumptions'!$E$35+'02 User Forecast'!AG12*50+'02 User Forecast'!AG18*20</f>
        <v>3630219.59166253</v>
      </c>
      <c r="AH7" s="6">
        <f>'01 Assumptions'!$E$35+'02 User Forecast'!AH12*50+'02 User Forecast'!AH18*20</f>
        <v>3795413.3180118</v>
      </c>
      <c r="AI7" s="6">
        <f>'01 Assumptions'!$E$35+'02 User Forecast'!AI12*50+'02 User Forecast'!AI18*20</f>
        <v>3973120.68750971</v>
      </c>
      <c r="AJ7" s="6">
        <f>'01 Assumptions'!$E$35+'02 User Forecast'!AJ12*50+'02 User Forecast'!AJ18*20</f>
        <v>4164336.967539</v>
      </c>
      <c r="AK7" s="6">
        <f>'01 Assumptions'!$E$35+'02 User Forecast'!AK12*50+'02 User Forecast'!AK18*20</f>
        <v>4370137.71585455</v>
      </c>
    </row>
    <row r="8" spans="1:37">
      <c r="A8" s="24" t="s">
        <v>223</v>
      </c>
      <c r="B8" s="6">
        <f>'02 User Forecast'!B13*20+'02 User Forecast'!B18*35+'02 User Forecast'!B19*15</f>
        <v>335505</v>
      </c>
      <c r="C8" s="6">
        <f>'02 User Forecast'!C13*20+'02 User Forecast'!C18*35+'02 User Forecast'!C19*15</f>
        <v>366148.575</v>
      </c>
      <c r="D8" s="6">
        <f>'02 User Forecast'!D13*20+'02 User Forecast'!D18*35+'02 User Forecast'!D19*15</f>
        <v>398820.574875</v>
      </c>
      <c r="E8" s="6">
        <f>'02 User Forecast'!E13*20+'02 User Forecast'!E18*35+'02 User Forecast'!E19*15</f>
        <v>433682.869629375</v>
      </c>
      <c r="F8" s="6">
        <f>'02 User Forecast'!F13*20+'02 User Forecast'!F18*35+'02 User Forecast'!F19*15</f>
        <v>470909.635034222</v>
      </c>
      <c r="G8" s="6">
        <f>'02 User Forecast'!G13*20+'02 User Forecast'!G18*35+'02 User Forecast'!G19*15</f>
        <v>510688.346976496</v>
      </c>
      <c r="H8" s="6">
        <f>'02 User Forecast'!H13*20+'02 User Forecast'!H18*35+'02 User Forecast'!H19*15</f>
        <v>553220.856934397</v>
      </c>
      <c r="I8" s="6">
        <f>'02 User Forecast'!I13*20+'02 User Forecast'!I18*35+'02 User Forecast'!I19*15</f>
        <v>598724.555389672</v>
      </c>
      <c r="J8" s="6">
        <f>'02 User Forecast'!J13*20+'02 User Forecast'!J18*35+'02 User Forecast'!J19*15</f>
        <v>647433.630568468</v>
      </c>
      <c r="K8" s="6">
        <f>'02 User Forecast'!K13*20+'02 User Forecast'!K18*35+'02 User Forecast'!K19*15</f>
        <v>699600.430533774</v>
      </c>
      <c r="L8" s="6">
        <f>'02 User Forecast'!L13*20+'02 User Forecast'!L18*35+'02 User Forecast'!L19*15</f>
        <v>755496.937338613</v>
      </c>
      <c r="M8" s="6">
        <f>'02 User Forecast'!M13*20+'02 User Forecast'!M18*35+'02 User Forecast'!M19*15</f>
        <v>815416.36269503</v>
      </c>
      <c r="N8" s="6">
        <f>'02 User Forecast'!N13*20+'02 User Forecast'!N18*35+'02 User Forecast'!N19*15</f>
        <v>879674.875424524</v>
      </c>
      <c r="O8" s="6">
        <f>'02 User Forecast'!O13*20+'02 User Forecast'!O18*35+'02 User Forecast'!O19*15</f>
        <v>948613.471836912</v>
      </c>
      <c r="P8" s="6">
        <f>'02 User Forecast'!P13*20+'02 User Forecast'!P18*35+'02 User Forecast'!P19*15</f>
        <v>1022600.00114258</v>
      </c>
      <c r="Q8" s="6">
        <f>'02 User Forecast'!Q13*20+'02 User Forecast'!Q18*35+'02 User Forecast'!Q19*15</f>
        <v>1102031.3590448</v>
      </c>
      <c r="R8" s="6">
        <f>'02 User Forecast'!R13*20+'02 User Forecast'!R18*35+'02 User Forecast'!R19*15</f>
        <v>1187335.86379112</v>
      </c>
      <c r="S8" s="6">
        <f>'02 User Forecast'!S13*20+'02 User Forecast'!S18*35+'02 User Forecast'!S19*15</f>
        <v>1278975.83019475</v>
      </c>
      <c r="T8" s="6">
        <f>'02 User Forecast'!T13*20+'02 User Forecast'!T18*35+'02 User Forecast'!T19*15</f>
        <v>1377450.35847544</v>
      </c>
      <c r="U8" s="6">
        <f>'02 User Forecast'!U13*20+'02 User Forecast'!U18*35+'02 User Forecast'!U19*15</f>
        <v>1483298.35622638</v>
      </c>
      <c r="V8" s="6">
        <f>'02 User Forecast'!V13*20+'02 User Forecast'!V18*35+'02 User Forecast'!V19*15</f>
        <v>1597101.8133972</v>
      </c>
      <c r="W8" s="6">
        <f>'02 User Forecast'!W13*20+'02 User Forecast'!W18*35+'02 User Forecast'!W19*15</f>
        <v>1719489.35190619</v>
      </c>
      <c r="X8" s="6">
        <f>'02 User Forecast'!X13*20+'02 User Forecast'!X18*35+'02 User Forecast'!X19*15</f>
        <v>1851140.07336883</v>
      </c>
      <c r="Y8" s="6">
        <f>'02 User Forecast'!Y13*20+'02 User Forecast'!Y18*35+'02 User Forecast'!Y19*15</f>
        <v>1992787.73046831</v>
      </c>
      <c r="Z8" s="6">
        <f>'02 User Forecast'!Z13*20+'02 User Forecast'!Z18*35+'02 User Forecast'!Z19*15</f>
        <v>2145225.24971139</v>
      </c>
      <c r="AA8" s="6">
        <f>'02 User Forecast'!AA13*20+'02 User Forecast'!AA18*35+'02 User Forecast'!AA19*15</f>
        <v>2309309.63572599</v>
      </c>
      <c r="AB8" s="6">
        <f>'02 User Forecast'!AB13*20+'02 User Forecast'!AB18*35+'02 User Forecast'!AB19*15</f>
        <v>2485967.28988167</v>
      </c>
      <c r="AC8" s="6">
        <f>'02 User Forecast'!AC13*20+'02 User Forecast'!AC18*35+'02 User Forecast'!AC19*15</f>
        <v>2676199.77887092</v>
      </c>
      <c r="AD8" s="6">
        <f>'02 User Forecast'!AD13*20+'02 User Forecast'!AD18*35+'02 User Forecast'!AD19*15</f>
        <v>2881090.09199731</v>
      </c>
      <c r="AE8" s="6">
        <f>'02 User Forecast'!AE13*20+'02 User Forecast'!AE18*35+'02 User Forecast'!AE19*15</f>
        <v>3101809.42929877</v>
      </c>
      <c r="AF8" s="6">
        <f>'02 User Forecast'!AF13*20+'02 User Forecast'!AF18*35+'02 User Forecast'!AF19*15</f>
        <v>3339624.5663156</v>
      </c>
      <c r="AG8" s="6">
        <f>'02 User Forecast'!AG13*20+'02 User Forecast'!AG18*35+'02 User Forecast'!AG19*15</f>
        <v>3595905.84531877</v>
      </c>
      <c r="AH8" s="6">
        <f>'02 User Forecast'!AH13*20+'02 User Forecast'!AH18*35+'02 User Forecast'!AH19*15</f>
        <v>3872135.84717453</v>
      </c>
      <c r="AI8" s="6">
        <f>'02 User Forecast'!AI13*20+'02 User Forecast'!AI18*35+'02 User Forecast'!AI19*15</f>
        <v>4169918.80276764</v>
      </c>
      <c r="AJ8" s="6">
        <f>'02 User Forecast'!AJ13*20+'02 User Forecast'!AJ18*35+'02 User Forecast'!AJ19*15</f>
        <v>4490990.80807152</v>
      </c>
      <c r="AK8" s="6">
        <f>'02 User Forecast'!AK13*20+'02 User Forecast'!AK18*35+'02 User Forecast'!AK19*15</f>
        <v>4837230.91257794</v>
      </c>
    </row>
    <row r="9" spans="1:37">
      <c r="A9" s="24" t="s">
        <v>224</v>
      </c>
      <c r="B9" s="6">
        <f>'02 User Forecast'!B19*'01 Assumptions'!$E$48+'02 User Forecast'!B12*10</f>
        <v>16877.5</v>
      </c>
      <c r="C9" s="6">
        <f>'02 User Forecast'!C19*'01 Assumptions'!$E$48+'02 User Forecast'!C12*10</f>
        <v>21364.2875</v>
      </c>
      <c r="D9" s="6">
        <f>'02 User Forecast'!D19*'01 Assumptions'!$E$48+'02 User Forecast'!D12*10</f>
        <v>26071.3249375</v>
      </c>
      <c r="E9" s="6">
        <f>'02 User Forecast'!E19*'01 Assumptions'!$E$48+'02 User Forecast'!E12*10</f>
        <v>31020.1522521875</v>
      </c>
      <c r="F9" s="6">
        <f>'02 User Forecast'!F19*'01 Assumptions'!$E$48+'02 User Forecast'!F12*10</f>
        <v>36233.9291505484</v>
      </c>
      <c r="G9" s="6">
        <f>'02 User Forecast'!G19*'01 Assumptions'!$E$48+'02 User Forecast'!G12*10</f>
        <v>41737.5799522339</v>
      </c>
      <c r="H9" s="6">
        <f>'02 User Forecast'!H19*'01 Assumptions'!$E$48+'02 User Forecast'!H12*10</f>
        <v>47557.9511917875</v>
      </c>
      <c r="I9" s="6">
        <f>'02 User Forecast'!I19*'01 Assumptions'!$E$48+'02 User Forecast'!I12*10</f>
        <v>53723.983160419</v>
      </c>
      <c r="J9" s="6">
        <f>'02 User Forecast'!J19*'01 Assumptions'!$E$48+'02 User Forecast'!J12*10</f>
        <v>60266.8966843207</v>
      </c>
      <c r="K9" s="6">
        <f>'02 User Forecast'!K19*'01 Assumptions'!$E$48+'02 User Forecast'!K12*10</f>
        <v>67220.3965586045</v>
      </c>
      <c r="L9" s="6">
        <f>'02 User Forecast'!L19*'01 Assumptions'!$E$48+'02 User Forecast'!L12*10</f>
        <v>74620.8931903461</v>
      </c>
      <c r="M9" s="6">
        <f>'02 User Forecast'!M19*'01 Assumptions'!$E$48+'02 User Forecast'!M12*10</f>
        <v>82507.7441516105</v>
      </c>
      <c r="N9" s="6">
        <f>'02 User Forecast'!N19*'01 Assumptions'!$E$48+'02 User Forecast'!N12*10</f>
        <v>90923.5175049606</v>
      </c>
      <c r="O9" s="6">
        <f>'02 User Forecast'!O19*'01 Assumptions'!$E$48+'02 User Forecast'!O12*10</f>
        <v>99914.2789412199</v>
      </c>
      <c r="P9" s="6">
        <f>'02 User Forecast'!P19*'01 Assumptions'!$E$48+'02 User Forecast'!P12*10</f>
        <v>109529.904963691</v>
      </c>
      <c r="Q9" s="6">
        <f>'02 User Forecast'!Q19*'01 Assumptions'!$E$48+'02 User Forecast'!Q12*10</f>
        <v>119824.424566307</v>
      </c>
      <c r="R9" s="6">
        <f>'02 User Forecast'!R19*'01 Assumptions'!$E$48+'02 User Forecast'!R12*10</f>
        <v>130856.392087162</v>
      </c>
      <c r="S9" s="6">
        <f>'02 User Forecast'!S19*'01 Assumptions'!$E$48+'02 User Forecast'!S12*10</f>
        <v>142689.294175537</v>
      </c>
      <c r="T9" s="6">
        <f>'02 User Forecast'!T19*'01 Assumptions'!$E$48+'02 User Forecast'!T12*10</f>
        <v>155391.994092166</v>
      </c>
      <c r="U9" s="6">
        <f>'02 User Forecast'!U19*'01 Assumptions'!$E$48+'02 User Forecast'!U12*10</f>
        <v>169039.216871509</v>
      </c>
      <c r="V9" s="6">
        <f>'02 User Forecast'!V19*'01 Assumptions'!$E$48+'02 User Forecast'!V12*10</f>
        <v>183712.079213855</v>
      </c>
      <c r="W9" s="6">
        <f>'02 User Forecast'!W19*'01 Assumptions'!$E$48+'02 User Forecast'!W12*10</f>
        <v>199498.668347222</v>
      </c>
      <c r="X9" s="6">
        <f>'02 User Forecast'!X19*'01 Assumptions'!$E$48+'02 User Forecast'!X12*10</f>
        <v>216494.674507408</v>
      </c>
      <c r="Y9" s="6">
        <f>'02 User Forecast'!Y19*'01 Assumptions'!$E$48+'02 User Forecast'!Y12*10</f>
        <v>234804.082132755</v>
      </c>
      <c r="Z9" s="6">
        <f>'02 User Forecast'!Z19*'01 Assumptions'!$E$48+'02 User Forecast'!Z12*10</f>
        <v>254539.92536222</v>
      </c>
      <c r="AA9" s="6">
        <f>'02 User Forecast'!AA19*'01 Assumptions'!$E$48+'02 User Forecast'!AA12*10</f>
        <v>275825.11396536</v>
      </c>
      <c r="AB9" s="6">
        <f>'02 User Forecast'!AB19*'01 Assumptions'!$E$48+'02 User Forecast'!AB12*10</f>
        <v>298793.336425724</v>
      </c>
      <c r="AC9" s="6">
        <f>'02 User Forecast'!AC19*'01 Assumptions'!$E$48+'02 User Forecast'!AC12*10</f>
        <v>323590.047549995</v>
      </c>
      <c r="AD9" s="6">
        <f>'02 User Forecast'!AD19*'01 Assumptions'!$E$48+'02 User Forecast'!AD12*10</f>
        <v>350373.548689771</v>
      </c>
      <c r="AE9" s="6">
        <f>'02 User Forecast'!AE19*'01 Assumptions'!$E$48+'02 User Forecast'!AE12*10</f>
        <v>379316.169447465</v>
      </c>
      <c r="AF9" s="6">
        <f>'02 User Forecast'!AF19*'01 Assumptions'!$E$48+'02 User Forecast'!AF12*10</f>
        <v>410605.560599261</v>
      </c>
      <c r="AG9" s="6">
        <f>'02 User Forecast'!AG19*'01 Assumptions'!$E$48+'02 User Forecast'!AG12*10</f>
        <v>444446.108914019</v>
      </c>
      <c r="AH9" s="6">
        <f>'02 User Forecast'!AH19*'01 Assumptions'!$E$48+'02 User Forecast'!AH12*10</f>
        <v>481060.485585787</v>
      </c>
      <c r="AI9" s="6">
        <f>'02 User Forecast'!AI19*'01 Assumptions'!$E$48+'02 User Forecast'!AI12*10</f>
        <v>520691.341138413</v>
      </c>
      <c r="AJ9" s="6">
        <f>'02 User Forecast'!AJ19*'01 Assumptions'!$E$48+'02 User Forecast'!AJ12*10</f>
        <v>563603.160913543</v>
      </c>
      <c r="AK9" s="6">
        <f>'02 User Forecast'!AK19*'01 Assumptions'!$E$48+'02 User Forecast'!AK12*10</f>
        <v>610084.296629357</v>
      </c>
    </row>
    <row r="10" spans="1:37">
      <c r="A10" s="24" t="s">
        <v>225</v>
      </c>
      <c r="B10" s="6">
        <f>'02 User Forecast'!B12*'01 Assumptions'!$E$46+'02 User Forecast'!B17*'01 Assumptions'!$E$47</f>
        <v>145652.5</v>
      </c>
      <c r="C10" s="6">
        <f>'02 User Forecast'!C12*'01 Assumptions'!$E$46+'02 User Forecast'!C17*'01 Assumptions'!$E$47</f>
        <v>190307.1625</v>
      </c>
      <c r="D10" s="6">
        <f>'02 User Forecast'!D12*'01 Assumptions'!$E$46+'02 User Forecast'!D17*'01 Assumptions'!$E$47</f>
        <v>236851.5743125</v>
      </c>
      <c r="E10" s="6">
        <f>'02 User Forecast'!E12*'01 Assumptions'!$E$46+'02 User Forecast'!E17*'01 Assumptions'!$E$47</f>
        <v>285463.704774063</v>
      </c>
      <c r="F10" s="6">
        <f>'02 User Forecast'!F12*'01 Assumptions'!$E$46+'02 User Forecast'!F17*'01 Assumptions'!$E$47</f>
        <v>336332.933356033</v>
      </c>
      <c r="G10" s="6">
        <f>'02 User Forecast'!G12*'01 Assumptions'!$E$46+'02 User Forecast'!G17*'01 Assumptions'!$E$47</f>
        <v>389660.956317573</v>
      </c>
      <c r="H10" s="6">
        <f>'02 User Forecast'!H12*'01 Assumptions'!$E$46+'02 User Forecast'!H17*'01 Assumptions'!$E$47</f>
        <v>445662.760868532</v>
      </c>
      <c r="I10" s="6">
        <f>'02 User Forecast'!I12*'01 Assumptions'!$E$46+'02 User Forecast'!I17*'01 Assumptions'!$E$47</f>
        <v>504567.672221777</v>
      </c>
      <c r="J10" s="6">
        <f>'02 User Forecast'!J12*'01 Assumptions'!$E$46+'02 User Forecast'!J17*'01 Assumptions'!$E$47</f>
        <v>566620.479345842</v>
      </c>
      <c r="K10" s="6">
        <f>'02 User Forecast'!K12*'01 Assumptions'!$E$46+'02 User Forecast'!K17*'01 Assumptions'!$E$47</f>
        <v>632082.645695611</v>
      </c>
      <c r="L10" s="6">
        <f>'02 User Forecast'!L12*'01 Assumptions'!$E$46+'02 User Forecast'!L17*'01 Assumptions'!$E$47</f>
        <v>701233.611704255</v>
      </c>
      <c r="M10" s="6">
        <f>'02 User Forecast'!M12*'01 Assumptions'!$E$46+'02 User Forecast'!M17*'01 Assumptions'!$E$47</f>
        <v>774372.196366994</v>
      </c>
      <c r="N10" s="6">
        <f>'02 User Forecast'!N12*'01 Assumptions'!$E$46+'02 User Forecast'!N17*'01 Assumptions'!$E$47</f>
        <v>851818.10584006</v>
      </c>
      <c r="O10" s="6">
        <f>'02 User Forecast'!O12*'01 Assumptions'!$E$46+'02 User Forecast'!O17*'01 Assumptions'!$E$47</f>
        <v>933913.557620213</v>
      </c>
      <c r="P10" s="6">
        <f>'02 User Forecast'!P12*'01 Assumptions'!$E$46+'02 User Forecast'!P17*'01 Assumptions'!$E$47</f>
        <v>1021025.02956557</v>
      </c>
      <c r="Q10" s="6">
        <f>'02 User Forecast'!Q12*'01 Assumptions'!$E$46+'02 User Forecast'!Q17*'01 Assumptions'!$E$47</f>
        <v>1113545.14377178</v>
      </c>
      <c r="R10" s="6">
        <f>'02 User Forecast'!R12*'01 Assumptions'!$E$46+'02 User Forecast'!R17*'01 Assumptions'!$E$47</f>
        <v>1211894.69613365</v>
      </c>
      <c r="S10" s="6">
        <f>'02 User Forecast'!S12*'01 Assumptions'!$E$46+'02 User Forecast'!S17*'01 Assumptions'!$E$47</f>
        <v>1316524.84330651</v>
      </c>
      <c r="T10" s="6">
        <f>'02 User Forecast'!T12*'01 Assumptions'!$E$46+'02 User Forecast'!T17*'01 Assumptions'!$E$47</f>
        <v>1427919.45973974</v>
      </c>
      <c r="U10" s="6">
        <f>'02 User Forecast'!U12*'01 Assumptions'!$E$46+'02 User Forecast'!U17*'01 Assumptions'!$E$47</f>
        <v>1546597.67849301</v>
      </c>
      <c r="V10" s="6">
        <f>'02 User Forecast'!V12*'01 Assumptions'!$E$46+'02 User Forecast'!V17*'01 Assumptions'!$E$47</f>
        <v>1673116.63067107</v>
      </c>
      <c r="W10" s="6">
        <f>'02 User Forecast'!W12*'01 Assumptions'!$E$46+'02 User Forecast'!W17*'01 Assumptions'!$E$47</f>
        <v>1808074.39953253</v>
      </c>
      <c r="X10" s="6">
        <f>'02 User Forecast'!X12*'01 Assumptions'!$E$46+'02 User Forecast'!X17*'01 Assumptions'!$E$47</f>
        <v>1952113.20665007</v>
      </c>
      <c r="Y10" s="6">
        <f>'02 User Forecast'!Y12*'01 Assumptions'!$E$46+'02 User Forecast'!Y17*'01 Assumptions'!$E$47</f>
        <v>2105922.84893251</v>
      </c>
      <c r="Z10" s="6">
        <f>'02 User Forecast'!Z12*'01 Assumptions'!$E$46+'02 User Forecast'!Z17*'01 Assumptions'!$E$47</f>
        <v>2270244.40687331</v>
      </c>
      <c r="AA10" s="6">
        <f>'02 User Forecast'!AA12*'01 Assumptions'!$E$46+'02 User Forecast'!AA17*'01 Assumptions'!$E$47</f>
        <v>2445874.24607446</v>
      </c>
      <c r="AB10" s="6">
        <f>'02 User Forecast'!AB12*'01 Assumptions'!$E$46+'02 User Forecast'!AB17*'01 Assumptions'!$E$47</f>
        <v>2633668.33592173</v>
      </c>
      <c r="AC10" s="6">
        <f>'02 User Forecast'!AC12*'01 Assumptions'!$E$46+'02 User Forecast'!AC17*'01 Assumptions'!$E$47</f>
        <v>2834546.91126871</v>
      </c>
      <c r="AD10" s="6">
        <f>'02 User Forecast'!AD12*'01 Assumptions'!$E$46+'02 User Forecast'!AD17*'01 Assumptions'!$E$47</f>
        <v>3049499.50513528</v>
      </c>
      <c r="AE10" s="6">
        <f>'02 User Forecast'!AE12*'01 Assumptions'!$E$46+'02 User Forecast'!AE17*'01 Assumptions'!$E$47</f>
        <v>3279590.38275749</v>
      </c>
      <c r="AF10" s="6">
        <f>'02 User Forecast'!AF12*'01 Assumptions'!$E$46+'02 User Forecast'!AF17*'01 Assumptions'!$E$47</f>
        <v>3525964.40985356</v>
      </c>
      <c r="AG10" s="6">
        <f>'02 User Forecast'!AG12*'01 Assumptions'!$E$46+'02 User Forecast'!AG17*'01 Assumptions'!$E$47</f>
        <v>3789853.39071366</v>
      </c>
      <c r="AH10" s="6">
        <f>'02 User Forecast'!AH12*'01 Assumptions'!$E$46+'02 User Forecast'!AH17*'01 Assumptions'!$E$47</f>
        <v>4072582.91469711</v>
      </c>
      <c r="AI10" s="6">
        <f>'02 User Forecast'!AI12*'01 Assumptions'!$E$46+'02 User Forecast'!AI17*'01 Assumptions'!$E$47</f>
        <v>4375579.75294892</v>
      </c>
      <c r="AJ10" s="6">
        <f>'02 User Forecast'!AJ12*'01 Assumptions'!$E$46+'02 User Forecast'!AJ17*'01 Assumptions'!$E$47</f>
        <v>4700379.85065185</v>
      </c>
      <c r="AK10" s="6">
        <f>'02 User Forecast'!AK12*'01 Assumptions'!$E$46+'02 User Forecast'!AK17*'01 Assumptions'!$E$47</f>
        <v>5048636.963932</v>
      </c>
    </row>
    <row r="11" spans="1:37">
      <c r="A11" s="24" t="s">
        <v>226</v>
      </c>
      <c r="B11" s="6">
        <f>('03 Revenue Forecast'!B8+'03 Revenue Forecast'!B10+'03 Revenue Forecast'!B12)*'01 Assumptions'!$E$45</f>
        <v>176250</v>
      </c>
      <c r="C11" s="6">
        <f>('03 Revenue Forecast'!C8+'03 Revenue Forecast'!C10+'03 Revenue Forecast'!C12)*'01 Assumptions'!$E$45</f>
        <v>192075</v>
      </c>
      <c r="D11" s="6">
        <f>('03 Revenue Forecast'!D8+'03 Revenue Forecast'!D10+'03 Revenue Forecast'!D12)*'01 Assumptions'!$E$45</f>
        <v>209322.75</v>
      </c>
      <c r="E11" s="6">
        <f>('03 Revenue Forecast'!E8+'03 Revenue Forecast'!E10+'03 Revenue Forecast'!E12)*'01 Assumptions'!$E$45</f>
        <v>228121.3275</v>
      </c>
      <c r="F11" s="6">
        <f>('03 Revenue Forecast'!F8+'03 Revenue Forecast'!F10+'03 Revenue Forecast'!F12)*'01 Assumptions'!$E$45</f>
        <v>248610.354375</v>
      </c>
      <c r="G11" s="6">
        <f>('03 Revenue Forecast'!G8+'03 Revenue Forecast'!G10+'03 Revenue Forecast'!G12)*'01 Assumptions'!$E$45</f>
        <v>270942.03876075</v>
      </c>
      <c r="H11" s="6">
        <f>('03 Revenue Forecast'!H8+'03 Revenue Forecast'!H10+'03 Revenue Forecast'!H12)*'01 Assumptions'!$E$45</f>
        <v>295282.311090578</v>
      </c>
      <c r="I11" s="6">
        <f>('03 Revenue Forecast'!I8+'03 Revenue Forecast'!I10+'03 Revenue Forecast'!I12)*'01 Assumptions'!$E$45</f>
        <v>321812.062802398</v>
      </c>
      <c r="J11" s="6">
        <f>('03 Revenue Forecast'!J8+'03 Revenue Forecast'!J10+'03 Revenue Forecast'!J12)*'01 Assumptions'!$E$45</f>
        <v>350728.497006877</v>
      </c>
      <c r="K11" s="6">
        <f>('03 Revenue Forecast'!K8+'03 Revenue Forecast'!K10+'03 Revenue Forecast'!K12)*'01 Assumptions'!$E$45</f>
        <v>382246.601249589</v>
      </c>
      <c r="L11" s="6">
        <f>('03 Revenue Forecast'!L8+'03 Revenue Forecast'!L10+'03 Revenue Forecast'!L12)*'01 Assumptions'!$E$45</f>
        <v>416600.753418328</v>
      </c>
      <c r="M11" s="6">
        <f>('03 Revenue Forecast'!M8+'03 Revenue Forecast'!M10+'03 Revenue Forecast'!M12)*'01 Assumptions'!$E$45</f>
        <v>454046.472848291</v>
      </c>
      <c r="N11" s="6">
        <f>('03 Revenue Forecast'!N8+'03 Revenue Forecast'!N10+'03 Revenue Forecast'!N12)*'01 Assumptions'!$E$45</f>
        <v>494862.329770427</v>
      </c>
      <c r="O11" s="6">
        <f>('03 Revenue Forecast'!O8+'03 Revenue Forecast'!O10+'03 Revenue Forecast'!O12)*'01 Assumptions'!$E$45</f>
        <v>539352.027439878</v>
      </c>
      <c r="P11" s="6">
        <f>('03 Revenue Forecast'!P8+'03 Revenue Forecast'!P10+'03 Revenue Forecast'!P12)*'01 Assumptions'!$E$45</f>
        <v>587846.672581353</v>
      </c>
      <c r="Q11" s="6">
        <f>('03 Revenue Forecast'!Q8+'03 Revenue Forecast'!Q10+'03 Revenue Forecast'!Q12)*'01 Assumptions'!$E$45</f>
        <v>640707.251206133</v>
      </c>
      <c r="R11" s="6">
        <f>('03 Revenue Forecast'!R8+'03 Revenue Forecast'!R10+'03 Revenue Forecast'!R12)*'01 Assumptions'!$E$45</f>
        <v>698327.328402044</v>
      </c>
      <c r="S11" s="6">
        <f>('03 Revenue Forecast'!S8+'03 Revenue Forecast'!S10+'03 Revenue Forecast'!S12)*'01 Assumptions'!$E$45</f>
        <v>761135.99238483</v>
      </c>
      <c r="T11" s="6">
        <f>('03 Revenue Forecast'!T8+'03 Revenue Forecast'!T10+'03 Revenue Forecast'!T12)*'01 Assumptions'!$E$45</f>
        <v>829601.064939674</v>
      </c>
      <c r="U11" s="6">
        <f>('03 Revenue Forecast'!U8+'03 Revenue Forecast'!U10+'03 Revenue Forecast'!U12)*'01 Assumptions'!$E$45</f>
        <v>904232.602389098</v>
      </c>
      <c r="V11" s="6">
        <f>('03 Revenue Forecast'!V8+'03 Revenue Forecast'!V10+'03 Revenue Forecast'!V12)*'01 Assumptions'!$E$45</f>
        <v>985586.713413329</v>
      </c>
      <c r="W11" s="6">
        <f>('03 Revenue Forecast'!W8+'03 Revenue Forecast'!W10+'03 Revenue Forecast'!W12)*'01 Assumptions'!$E$45</f>
        <v>1074269.72243804</v>
      </c>
      <c r="X11" s="6">
        <f>('03 Revenue Forecast'!X8+'03 Revenue Forecast'!X10+'03 Revenue Forecast'!X12)*'01 Assumptions'!$E$45</f>
        <v>1170942.70991031</v>
      </c>
      <c r="Y11" s="6">
        <f>('03 Revenue Forecast'!Y8+'03 Revenue Forecast'!Y10+'03 Revenue Forecast'!Y12)*'01 Assumptions'!$E$45</f>
        <v>1276326.46362622</v>
      </c>
      <c r="Z11" s="6">
        <f>('03 Revenue Forecast'!Z8+'03 Revenue Forecast'!Z10+'03 Revenue Forecast'!Z12)*'01 Assumptions'!$E$45</f>
        <v>1391206.8783749</v>
      </c>
      <c r="AA11" s="6">
        <f>('03 Revenue Forecast'!AA8+'03 Revenue Forecast'!AA10+'03 Revenue Forecast'!AA12)*'01 Assumptions'!$E$45</f>
        <v>1516440.84454638</v>
      </c>
      <c r="AB11" s="6">
        <f>('03 Revenue Forecast'!AB8+'03 Revenue Forecast'!AB10+'03 Revenue Forecast'!AB12)*'01 Assumptions'!$E$45</f>
        <v>1652962.67004174</v>
      </c>
      <c r="AC11" s="6">
        <f>('03 Revenue Forecast'!AC8+'03 Revenue Forecast'!AC10+'03 Revenue Forecast'!AC12)*'01 Assumptions'!$E$45</f>
        <v>1801791.08384948</v>
      </c>
      <c r="AD11" s="6">
        <f>('03 Revenue Forecast'!AD8+'03 Revenue Forecast'!AD10+'03 Revenue Forecast'!AD12)*'01 Assumptions'!$E$45</f>
        <v>1964036.87404505</v>
      </c>
      <c r="AE11" s="6">
        <f>('03 Revenue Forecast'!AE8+'03 Revenue Forecast'!AE10+'03 Revenue Forecast'!AE12)*'01 Assumptions'!$E$45</f>
        <v>2140911.21776144</v>
      </c>
      <c r="AF11" s="6">
        <f>('03 Revenue Forecast'!AF8+'03 Revenue Forecast'!AF10+'03 Revenue Forecast'!AF12)*'01 Assumptions'!$E$45</f>
        <v>2333734.7659069</v>
      </c>
      <c r="AG11" s="6">
        <f>('03 Revenue Forecast'!AG8+'03 Revenue Forecast'!AG10+'03 Revenue Forecast'!AG12)*'01 Assumptions'!$E$45</f>
        <v>2543947.55110867</v>
      </c>
      <c r="AH11" s="6">
        <f>('03 Revenue Forecast'!AH8+'03 Revenue Forecast'!AH10+'03 Revenue Forecast'!AH12)*'01 Assumptions'!$E$45</f>
        <v>2773119.79358361</v>
      </c>
      <c r="AI11" s="6">
        <f>('03 Revenue Forecast'!AI8+'03 Revenue Forecast'!AI10+'03 Revenue Forecast'!AI12)*'01 Assumptions'!$E$45</f>
        <v>3022963.68642505</v>
      </c>
      <c r="AJ11" s="6">
        <f>('03 Revenue Forecast'!AJ8+'03 Revenue Forecast'!AJ10+'03 Revenue Forecast'!AJ12)*'01 Assumptions'!$E$45</f>
        <v>3295346.24920085</v>
      </c>
      <c r="AK11" s="6">
        <f>('03 Revenue Forecast'!AK8+'03 Revenue Forecast'!AK10+'03 Revenue Forecast'!AK12)*'01 Assumptions'!$E$45</f>
        <v>3592303.34683791</v>
      </c>
    </row>
    <row r="12" spans="1:37">
      <c r="A12" s="26" t="s">
        <v>227</v>
      </c>
      <c r="B12" s="27">
        <f t="shared" ref="B12:AK12" si="0">SUM(B6:B11)</f>
        <v>4068672.5</v>
      </c>
      <c r="C12" s="27">
        <f t="shared" si="0"/>
        <v>4205116.4625</v>
      </c>
      <c r="D12" s="27">
        <f t="shared" si="0"/>
        <v>4348388.8488125</v>
      </c>
      <c r="E12" s="27">
        <f t="shared" si="0"/>
        <v>4499082.35541656</v>
      </c>
      <c r="F12" s="27">
        <f t="shared" si="0"/>
        <v>4657833.61226855</v>
      </c>
      <c r="G12" s="27">
        <f t="shared" si="0"/>
        <v>4825326.84924222</v>
      </c>
      <c r="H12" s="27">
        <f t="shared" si="0"/>
        <v>5002297.86377649</v>
      </c>
      <c r="I12" s="27">
        <f t="shared" si="0"/>
        <v>5189538.31541798</v>
      </c>
      <c r="J12" s="27">
        <f t="shared" si="0"/>
        <v>5387900.37515907</v>
      </c>
      <c r="K12" s="27">
        <f t="shared" si="0"/>
        <v>5598301.75987899</v>
      </c>
      <c r="L12" s="27">
        <f t="shared" si="0"/>
        <v>5821731.18481397</v>
      </c>
      <c r="M12" s="27">
        <f t="shared" si="0"/>
        <v>6059254.26983037</v>
      </c>
      <c r="N12" s="27">
        <f t="shared" si="0"/>
        <v>6312019.93837324</v>
      </c>
      <c r="O12" s="27">
        <f t="shared" si="0"/>
        <v>6581267.35133319</v>
      </c>
      <c r="P12" s="27">
        <f t="shared" si="0"/>
        <v>6868333.42174193</v>
      </c>
      <c r="Q12" s="27">
        <f t="shared" si="0"/>
        <v>7174660.96019702</v>
      </c>
      <c r="R12" s="27">
        <f t="shared" si="0"/>
        <v>7501807.50525815</v>
      </c>
      <c r="S12" s="27">
        <f t="shared" si="0"/>
        <v>7851454.89778224</v>
      </c>
      <c r="T12" s="27">
        <f t="shared" si="0"/>
        <v>8225419.66330644</v>
      </c>
      <c r="U12" s="27">
        <f t="shared" si="0"/>
        <v>8625664.27218438</v>
      </c>
      <c r="V12" s="27">
        <f t="shared" si="0"/>
        <v>9054309.35327148</v>
      </c>
      <c r="W12" s="27">
        <f t="shared" si="0"/>
        <v>9513646.9435853</v>
      </c>
      <c r="X12" s="27">
        <f t="shared" si="0"/>
        <v>10006154.863583</v>
      </c>
      <c r="Y12" s="27">
        <f t="shared" si="0"/>
        <v>10534512.3155542</v>
      </c>
      <c r="Z12" s="27">
        <f t="shared" si="0"/>
        <v>11101616.8111809</v>
      </c>
      <c r="AA12" s="27">
        <f t="shared" si="0"/>
        <v>11710602.5436248</v>
      </c>
      <c r="AB12" s="27">
        <f t="shared" si="0"/>
        <v>12364860.3296448</v>
      </c>
      <c r="AC12" s="27">
        <f t="shared" si="0"/>
        <v>13068059.2582823</v>
      </c>
      <c r="AD12" s="27">
        <f t="shared" si="0"/>
        <v>13824170.1946743</v>
      </c>
      <c r="AE12" s="27">
        <f t="shared" si="0"/>
        <v>14637491.3006441</v>
      </c>
      <c r="AF12" s="27">
        <f t="shared" si="0"/>
        <v>15512675.7479744</v>
      </c>
      <c r="AG12" s="27">
        <f t="shared" si="0"/>
        <v>16454761.8157929</v>
      </c>
      <c r="AH12" s="27">
        <f t="shared" si="0"/>
        <v>17469205.5804088</v>
      </c>
      <c r="AI12" s="27">
        <f t="shared" si="0"/>
        <v>18561916.4243593</v>
      </c>
      <c r="AJ12" s="27">
        <f t="shared" si="0"/>
        <v>19739295.611482</v>
      </c>
      <c r="AK12" s="27">
        <f t="shared" si="0"/>
        <v>21008278.196688</v>
      </c>
    </row>
    <row r="13" spans="1:37">
      <c r="A13" s="24" t="s">
        <v>228</v>
      </c>
      <c r="B13" s="6">
        <f>'01 Assumptions'!$E$37+'02 User Forecast'!B12*60+'02 User Forecast'!B20*3000</f>
        <v>950265</v>
      </c>
      <c r="C13" s="6">
        <f>'01 Assumptions'!$E$37+'02 User Forecast'!C12*60+'02 User Forecast'!C20*3000</f>
        <v>973435.725</v>
      </c>
      <c r="D13" s="6">
        <f>'01 Assumptions'!$E$37+'02 User Forecast'!D12*60+'02 User Forecast'!D20*3000</f>
        <v>997327.949625</v>
      </c>
      <c r="E13" s="6">
        <f>'01 Assumptions'!$E$37+'02 User Forecast'!E12*60+'02 User Forecast'!E20*3000</f>
        <v>1022010.91351313</v>
      </c>
      <c r="F13" s="6">
        <f>'01 Assumptions'!$E$37+'02 User Forecast'!F12*60+'02 User Forecast'!F20*3000</f>
        <v>1047557.57490329</v>
      </c>
      <c r="G13" s="6">
        <f>'01 Assumptions'!$E$37+'02 User Forecast'!G12*60+'02 User Forecast'!G20*3000</f>
        <v>1074044.8797134</v>
      </c>
      <c r="H13" s="6">
        <f>'01 Assumptions'!$E$37+'02 User Forecast'!H12*60+'02 User Forecast'!H20*3000</f>
        <v>1101554.04715073</v>
      </c>
      <c r="I13" s="6">
        <f>'01 Assumptions'!$E$37+'02 User Forecast'!I12*60+'02 User Forecast'!I20*3000</f>
        <v>1130170.87296251</v>
      </c>
      <c r="J13" s="6">
        <f>'01 Assumptions'!$E$37+'02 User Forecast'!J12*60+'02 User Forecast'!J20*3000</f>
        <v>1159986.05150592</v>
      </c>
      <c r="K13" s="6">
        <f>'01 Assumptions'!$E$37+'02 User Forecast'!K12*60+'02 User Forecast'!K20*3000</f>
        <v>1191095.51789163</v>
      </c>
      <c r="L13" s="6">
        <f>'01 Assumptions'!$E$37+'02 User Forecast'!L12*60+'02 User Forecast'!L20*3000</f>
        <v>1223600.81153608</v>
      </c>
      <c r="M13" s="6">
        <f>'01 Assumptions'!$E$37+'02 User Forecast'!M12*60+'02 User Forecast'!M20*3000</f>
        <v>1257609.46254306</v>
      </c>
      <c r="N13" s="6">
        <f>'01 Assumptions'!$E$37+'02 User Forecast'!N12*60+'02 User Forecast'!N20*3000</f>
        <v>1293235.4024265</v>
      </c>
      <c r="O13" s="6">
        <f>'01 Assumptions'!$E$37+'02 User Forecast'!O12*60+'02 User Forecast'!O20*3000</f>
        <v>1330599.40078373</v>
      </c>
      <c r="P13" s="6">
        <f>'01 Assumptions'!$E$37+'02 User Forecast'!P12*60+'02 User Forecast'!P20*3000</f>
        <v>1369829.5296322</v>
      </c>
      <c r="Q13" s="6">
        <f>'01 Assumptions'!$E$37+'02 User Forecast'!Q12*60+'02 User Forecast'!Q20*3000</f>
        <v>1411061.6572329</v>
      </c>
      <c r="R13" s="6">
        <f>'01 Assumptions'!$E$37+'02 User Forecast'!R12*60+'02 User Forecast'!R20*3000</f>
        <v>1454439.97334154</v>
      </c>
      <c r="S13" s="6">
        <f>'01 Assumptions'!$E$37+'02 User Forecast'!S12*60+'02 User Forecast'!S20*3000</f>
        <v>1500117.54795364</v>
      </c>
      <c r="T13" s="6">
        <f>'01 Assumptions'!$E$37+'02 User Forecast'!T12*60+'02 User Forecast'!T20*3000</f>
        <v>1548256.92574346</v>
      </c>
      <c r="U13" s="6">
        <f>'01 Assumptions'!$E$37+'02 User Forecast'!U12*60+'02 User Forecast'!U20*3000</f>
        <v>1599030.75853857</v>
      </c>
      <c r="V13" s="6">
        <f>'01 Assumptions'!$E$37+'02 User Forecast'!V12*60+'02 User Forecast'!V20*3000</f>
        <v>1652622.47832359</v>
      </c>
      <c r="W13" s="6">
        <f>'01 Assumptions'!$E$37+'02 User Forecast'!W12*60+'02 User Forecast'!W20*3000</f>
        <v>1709227.01342784</v>
      </c>
      <c r="X13" s="6">
        <f>'01 Assumptions'!$E$37+'02 User Forecast'!X12*60+'02 User Forecast'!X20*3000</f>
        <v>1769051.55072341</v>
      </c>
      <c r="Y13" s="6">
        <f>'01 Assumptions'!$E$37+'02 User Forecast'!Y12*60+'02 User Forecast'!Y20*3000</f>
        <v>1832316.34684339</v>
      </c>
      <c r="Z13" s="6">
        <f>'01 Assumptions'!$E$37+'02 User Forecast'!Z12*60+'02 User Forecast'!Z20*3000</f>
        <v>1899255.59162487</v>
      </c>
      <c r="AA13" s="6">
        <f>'01 Assumptions'!$E$37+'02 User Forecast'!AA12*60+'02 User Forecast'!AA20*3000</f>
        <v>1970118.32718885</v>
      </c>
      <c r="AB13" s="6">
        <f>'01 Assumptions'!$E$37+'02 User Forecast'!AB12*60+'02 User Forecast'!AB20*3000</f>
        <v>2045169.42629071</v>
      </c>
      <c r="AC13" s="6">
        <f>'01 Assumptions'!$E$37+'02 User Forecast'!AC12*60+'02 User Forecast'!AC20*3000</f>
        <v>2124690.63380997</v>
      </c>
      <c r="AD13" s="6">
        <f>'01 Assumptions'!$E$37+'02 User Forecast'!AD12*60+'02 User Forecast'!AD20*3000</f>
        <v>2208981.67549963</v>
      </c>
      <c r="AE13" s="6">
        <f>'01 Assumptions'!$E$37+'02 User Forecast'!AE12*60+'02 User Forecast'!AE20*3000</f>
        <v>2298361.43838189</v>
      </c>
      <c r="AF13" s="6">
        <f>'01 Assumptions'!$E$37+'02 User Forecast'!AF12*60+'02 User Forecast'!AF20*3000</f>
        <v>2393169.22746238</v>
      </c>
      <c r="AG13" s="6">
        <f>'01 Assumptions'!$E$37+'02 User Forecast'!AG12*60+'02 User Forecast'!AG20*3000</f>
        <v>2493766.10373761</v>
      </c>
      <c r="AH13" s="6">
        <f>'01 Assumptions'!$E$37+'02 User Forecast'!AH12*60+'02 User Forecast'!AH20*3000</f>
        <v>2600536.30879357</v>
      </c>
      <c r="AI13" s="6">
        <f>'01 Assumptions'!$E$37+'02 User Forecast'!AI12*60+'02 User Forecast'!AI20*3000</f>
        <v>2713888.78163721</v>
      </c>
      <c r="AJ13" s="6">
        <f>'01 Assumptions'!$E$37+'02 User Forecast'!AJ12*60+'02 User Forecast'!AJ20*3000</f>
        <v>2834258.77376866</v>
      </c>
      <c r="AK13" s="6">
        <f>'01 Assumptions'!$E$37+'02 User Forecast'!AK12*60+'02 User Forecast'!AK20*3000</f>
        <v>2962109.56889229</v>
      </c>
    </row>
    <row r="14" spans="1:37">
      <c r="A14" s="24" t="s">
        <v>229</v>
      </c>
      <c r="B14" s="6">
        <f>'01 Assumptions'!$E$33+'02 User Forecast'!B14*500</f>
        <v>1675000</v>
      </c>
      <c r="C14" s="6">
        <f>'01 Assumptions'!$E$33+'02 User Forecast'!C14*500</f>
        <v>1686375</v>
      </c>
      <c r="D14" s="6">
        <f>'01 Assumptions'!$E$33+'02 User Forecast'!D14*500</f>
        <v>1698489.375</v>
      </c>
      <c r="E14" s="6">
        <f>'01 Assumptions'!$E$33+'02 User Forecast'!E14*500</f>
        <v>1711391.184375</v>
      </c>
      <c r="F14" s="6">
        <f>'01 Assumptions'!$E$33+'02 User Forecast'!F14*500</f>
        <v>1725131.61135938</v>
      </c>
      <c r="G14" s="6">
        <f>'01 Assumptions'!$E$33+'02 User Forecast'!G14*500</f>
        <v>1739765.16609773</v>
      </c>
      <c r="H14" s="6">
        <f>'01 Assumptions'!$E$33+'02 User Forecast'!H14*500</f>
        <v>1755349.90189409</v>
      </c>
      <c r="I14" s="6">
        <f>'01 Assumptions'!$E$33+'02 User Forecast'!I14*500</f>
        <v>1771947.6455172</v>
      </c>
      <c r="J14" s="6">
        <f>'01 Assumptions'!$E$33+'02 User Forecast'!J14*500</f>
        <v>1789624.24247582</v>
      </c>
      <c r="K14" s="6">
        <f>'01 Assumptions'!$E$33+'02 User Forecast'!K14*500</f>
        <v>1808449.81823675</v>
      </c>
      <c r="L14" s="6">
        <f>'01 Assumptions'!$E$33+'02 User Forecast'!L14*500</f>
        <v>1828499.05642214</v>
      </c>
      <c r="M14" s="6">
        <f>'01 Assumptions'!$E$33+'02 User Forecast'!M14*500</f>
        <v>1849851.49508958</v>
      </c>
      <c r="N14" s="6">
        <f>'01 Assumptions'!$E$33+'02 User Forecast'!N14*500</f>
        <v>1872591.8422704</v>
      </c>
      <c r="O14" s="6">
        <f>'01 Assumptions'!$E$33+'02 User Forecast'!O14*500</f>
        <v>1896810.31201798</v>
      </c>
      <c r="P14" s="6">
        <f>'01 Assumptions'!$E$33+'02 User Forecast'!P14*500</f>
        <v>1922602.98229914</v>
      </c>
      <c r="Q14" s="6">
        <f>'01 Assumptions'!$E$33+'02 User Forecast'!Q14*500</f>
        <v>1950072.17614859</v>
      </c>
      <c r="R14" s="6">
        <f>'01 Assumptions'!$E$33+'02 User Forecast'!R14*500</f>
        <v>1979326.86759825</v>
      </c>
      <c r="S14" s="6">
        <f>'01 Assumptions'!$E$33+'02 User Forecast'!S14*500</f>
        <v>2010483.11399213</v>
      </c>
      <c r="T14" s="6">
        <f>'01 Assumptions'!$E$33+'02 User Forecast'!T14*500</f>
        <v>2043664.51640162</v>
      </c>
      <c r="U14" s="6">
        <f>'01 Assumptions'!$E$33+'02 User Forecast'!U14*500</f>
        <v>2079002.70996773</v>
      </c>
      <c r="V14" s="6">
        <f>'01 Assumptions'!$E$33+'02 User Forecast'!V14*500</f>
        <v>2116637.88611563</v>
      </c>
      <c r="W14" s="6">
        <f>'01 Assumptions'!$E$33+'02 User Forecast'!W14*500</f>
        <v>2156719.34871314</v>
      </c>
      <c r="X14" s="6">
        <f>'01 Assumptions'!$E$33+'02 User Forecast'!X14*500</f>
        <v>2199406.1063795</v>
      </c>
      <c r="Y14" s="6">
        <f>'01 Assumptions'!$E$33+'02 User Forecast'!Y14*500</f>
        <v>2244867.50329417</v>
      </c>
      <c r="Z14" s="6">
        <f>'01 Assumptions'!$E$33+'02 User Forecast'!Z14*500</f>
        <v>2293283.89100829</v>
      </c>
      <c r="AA14" s="6">
        <f>'01 Assumptions'!$E$33+'02 User Forecast'!AA14*500</f>
        <v>2344847.34392383</v>
      </c>
      <c r="AB14" s="6">
        <f>'01 Assumptions'!$E$33+'02 User Forecast'!AB14*500</f>
        <v>2399762.42127887</v>
      </c>
      <c r="AC14" s="6">
        <f>'01 Assumptions'!$E$33+'02 User Forecast'!AC14*500</f>
        <v>2458246.978662</v>
      </c>
      <c r="AD14" s="6">
        <f>'01 Assumptions'!$E$33+'02 User Forecast'!AD14*500</f>
        <v>2520533.03227503</v>
      </c>
      <c r="AE14" s="6">
        <f>'01 Assumptions'!$E$33+'02 User Forecast'!AE14*500</f>
        <v>2586867.67937291</v>
      </c>
      <c r="AF14" s="6">
        <f>'01 Assumptions'!$E$33+'02 User Forecast'!AF14*500</f>
        <v>2657514.07853215</v>
      </c>
      <c r="AG14" s="6">
        <f>'01 Assumptions'!$E$33+'02 User Forecast'!AG14*500</f>
        <v>2732752.49363674</v>
      </c>
      <c r="AH14" s="6">
        <f>'01 Assumptions'!$E$33+'02 User Forecast'!AH14*500</f>
        <v>2812881.40572312</v>
      </c>
      <c r="AI14" s="6">
        <f>'01 Assumptions'!$E$33+'02 User Forecast'!AI14*500</f>
        <v>2898218.69709513</v>
      </c>
      <c r="AJ14" s="6">
        <f>'01 Assumptions'!$E$33+'02 User Forecast'!AJ14*500</f>
        <v>2989102.91240631</v>
      </c>
      <c r="AK14" s="6">
        <f>'01 Assumptions'!$E$33+'02 User Forecast'!AK14*500</f>
        <v>3085894.60171272</v>
      </c>
    </row>
    <row r="15" spans="1:37">
      <c r="A15" s="24" t="s">
        <v>230</v>
      </c>
      <c r="B15" s="6">
        <f>'03 Revenue Forecast'!B16*'01 Assumptions'!$E$32</f>
        <v>70014.5625</v>
      </c>
      <c r="C15" s="6">
        <f>'03 Revenue Forecast'!C16*'01 Assumptions'!$E$32</f>
        <v>92323.6153125</v>
      </c>
      <c r="D15" s="6">
        <f>'03 Revenue Forecast'!D16*'01 Assumptions'!$E$32</f>
        <v>115368.781589063</v>
      </c>
      <c r="E15" s="6">
        <f>'03 Revenue Forecast'!E16*'01 Assumptions'!$E$32</f>
        <v>139219.865053758</v>
      </c>
      <c r="F15" s="6">
        <f>'03 Revenue Forecast'!F16*'01 Assumptions'!$E$32</f>
        <v>163951.063324759</v>
      </c>
      <c r="G15" s="6">
        <f>'03 Revenue Forecast'!G16*'01 Assumptions'!$E$32</f>
        <v>189641.31616364</v>
      </c>
      <c r="H15" s="6">
        <f>'03 Revenue Forecast'!H16*'01 Assumptions'!$E$32</f>
        <v>216374.679492647</v>
      </c>
      <c r="I15" s="6">
        <f>'03 Revenue Forecast'!I16*'01 Assumptions'!$E$32</f>
        <v>244240.727238303</v>
      </c>
      <c r="J15" s="6">
        <f>'03 Revenue Forecast'!J16*'01 Assumptions'!$E$32</f>
        <v>273334.983225839</v>
      </c>
      <c r="K15" s="6">
        <f>'03 Revenue Forecast'!K16*'01 Assumptions'!$E$32</f>
        <v>303759.385529022</v>
      </c>
      <c r="L15" s="6">
        <f>'03 Revenue Forecast'!L16*'01 Assumptions'!$E$32</f>
        <v>335622.785875122</v>
      </c>
      <c r="M15" s="6">
        <f>'03 Revenue Forecast'!M16*'01 Assumptions'!$E$32</f>
        <v>369041.486916362</v>
      </c>
      <c r="N15" s="6">
        <f>'03 Revenue Forecast'!N16*'01 Assumptions'!$E$32</f>
        <v>404139.820408637</v>
      </c>
      <c r="O15" s="6">
        <f>'03 Revenue Forecast'!O16*'01 Assumptions'!$E$32</f>
        <v>441050.769587059</v>
      </c>
      <c r="P15" s="6">
        <f>'03 Revenue Forecast'!P16*'01 Assumptions'!$E$32</f>
        <v>479916.639297731</v>
      </c>
      <c r="Q15" s="6">
        <f>'03 Revenue Forecast'!Q16*'01 Assumptions'!$E$32</f>
        <v>520889.777737819</v>
      </c>
      <c r="R15" s="6">
        <f>'03 Revenue Forecast'!R16*'01 Assumptions'!$E$32</f>
        <v>564133.35397352</v>
      </c>
      <c r="S15" s="6">
        <f>'03 Revenue Forecast'!S16*'01 Assumptions'!$E$32</f>
        <v>609822.195749997</v>
      </c>
      <c r="T15" s="6">
        <f>'03 Revenue Forecast'!T16*'01 Assumptions'!$E$32</f>
        <v>658143.692481217</v>
      </c>
      <c r="U15" s="6">
        <f>'03 Revenue Forecast'!U16*'01 Assumptions'!$E$32</f>
        <v>709298.768713308</v>
      </c>
      <c r="V15" s="6">
        <f>'03 Revenue Forecast'!V16*'01 Assumptions'!$E$32</f>
        <v>763502.933795458</v>
      </c>
      <c r="W15" s="6">
        <f>'03 Revenue Forecast'!W16*'01 Assumptions'!$E$32</f>
        <v>820987.413970417</v>
      </c>
      <c r="X15" s="6">
        <f>'03 Revenue Forecast'!X16*'01 Assumptions'!$E$32</f>
        <v>882000.373615746</v>
      </c>
      <c r="Y15" s="6">
        <f>'03 Revenue Forecast'!Y16*'01 Assumptions'!$E$32</f>
        <v>946808.232930558</v>
      </c>
      <c r="Z15" s="6">
        <f>'03 Revenue Forecast'!Z16*'01 Assumptions'!$E$32</f>
        <v>1015697.08997463</v>
      </c>
      <c r="AA15" s="6">
        <f>'03 Revenue Forecast'!AA16*'01 Assumptions'!$E$32</f>
        <v>1088974.25563159</v>
      </c>
      <c r="AB15" s="6">
        <f>'03 Revenue Forecast'!AB16*'01 Assumptions'!$E$32</f>
        <v>1166969.91079018</v>
      </c>
      <c r="AC15" s="6">
        <f>'03 Revenue Forecast'!AC16*'01 Assumptions'!$E$32</f>
        <v>1250038.89582221</v>
      </c>
      <c r="AD15" s="6">
        <f>'03 Revenue Forecast'!AD16*'01 Assumptions'!$E$32</f>
        <v>1338562.6432885</v>
      </c>
      <c r="AE15" s="6">
        <f>'03 Revenue Forecast'!AE16*'01 Assumptions'!$E$32</f>
        <v>1432951.2657306</v>
      </c>
      <c r="AF15" s="6">
        <f>'03 Revenue Forecast'!AF16*'01 Assumptions'!$E$32</f>
        <v>1533645.81141339</v>
      </c>
      <c r="AG15" s="6">
        <f>'03 Revenue Forecast'!AG16*'01 Assumptions'!$E$32</f>
        <v>1641120.70197791</v>
      </c>
      <c r="AH15" s="6">
        <f>'03 Revenue Forecast'!AH16*'01 Assumptions'!$E$32</f>
        <v>1755886.36715449</v>
      </c>
      <c r="AI15" s="6">
        <f>'03 Revenue Forecast'!AI16*'01 Assumptions'!$E$32</f>
        <v>1878492.0929796</v>
      </c>
      <c r="AJ15" s="6">
        <f>'03 Revenue Forecast'!AJ16*'01 Assumptions'!$E$32</f>
        <v>2009529.10136738</v>
      </c>
      <c r="AK15" s="6">
        <f>'03 Revenue Forecast'!AK16*'01 Assumptions'!$E$32</f>
        <v>2149633.88041696</v>
      </c>
    </row>
    <row r="16" spans="1:37">
      <c r="A16" s="24" t="s">
        <v>231</v>
      </c>
      <c r="B16" s="6">
        <f>'01 Assumptions'!$E$36</f>
        <v>1200000</v>
      </c>
      <c r="C16" s="6">
        <f>'01 Assumptions'!$E$36</f>
        <v>1200000</v>
      </c>
      <c r="D16" s="6">
        <f>'01 Assumptions'!$E$36</f>
        <v>1200000</v>
      </c>
      <c r="E16" s="6">
        <f>'01 Assumptions'!$E$36</f>
        <v>1200000</v>
      </c>
      <c r="F16" s="6">
        <f>'01 Assumptions'!$E$36</f>
        <v>1200000</v>
      </c>
      <c r="G16" s="6">
        <f>'01 Assumptions'!$E$36</f>
        <v>1200000</v>
      </c>
      <c r="H16" s="6">
        <f>'01 Assumptions'!$E$36</f>
        <v>1200000</v>
      </c>
      <c r="I16" s="6">
        <f>'01 Assumptions'!$E$36</f>
        <v>1200000</v>
      </c>
      <c r="J16" s="6">
        <f>'01 Assumptions'!$E$36</f>
        <v>1200000</v>
      </c>
      <c r="K16" s="6">
        <f>'01 Assumptions'!$E$36</f>
        <v>1200000</v>
      </c>
      <c r="L16" s="6">
        <f>'01 Assumptions'!$E$36</f>
        <v>1200000</v>
      </c>
      <c r="M16" s="6">
        <f>'01 Assumptions'!$E$36</f>
        <v>1200000</v>
      </c>
      <c r="N16" s="6">
        <f>'01 Assumptions'!$E$36</f>
        <v>1200000</v>
      </c>
      <c r="O16" s="6">
        <f>'01 Assumptions'!$E$36</f>
        <v>1200000</v>
      </c>
      <c r="P16" s="6">
        <f>'01 Assumptions'!$E$36</f>
        <v>1200000</v>
      </c>
      <c r="Q16" s="6">
        <f>'01 Assumptions'!$E$36</f>
        <v>1200000</v>
      </c>
      <c r="R16" s="6">
        <f>'01 Assumptions'!$E$36</f>
        <v>1200000</v>
      </c>
      <c r="S16" s="6">
        <f>'01 Assumptions'!$E$36</f>
        <v>1200000</v>
      </c>
      <c r="T16" s="6">
        <f>'01 Assumptions'!$E$36</f>
        <v>1200000</v>
      </c>
      <c r="U16" s="6">
        <f>'01 Assumptions'!$E$36</f>
        <v>1200000</v>
      </c>
      <c r="V16" s="6">
        <f>'01 Assumptions'!$E$36</f>
        <v>1200000</v>
      </c>
      <c r="W16" s="6">
        <f>'01 Assumptions'!$E$36</f>
        <v>1200000</v>
      </c>
      <c r="X16" s="6">
        <f>'01 Assumptions'!$E$36</f>
        <v>1200000</v>
      </c>
      <c r="Y16" s="6">
        <f>'01 Assumptions'!$E$36</f>
        <v>1200000</v>
      </c>
      <c r="Z16" s="6">
        <f>'01 Assumptions'!$E$36</f>
        <v>1200000</v>
      </c>
      <c r="AA16" s="6">
        <f>'01 Assumptions'!$E$36</f>
        <v>1200000</v>
      </c>
      <c r="AB16" s="6">
        <f>'01 Assumptions'!$E$36</f>
        <v>1200000</v>
      </c>
      <c r="AC16" s="6">
        <f>'01 Assumptions'!$E$36</f>
        <v>1200000</v>
      </c>
      <c r="AD16" s="6">
        <f>'01 Assumptions'!$E$36</f>
        <v>1200000</v>
      </c>
      <c r="AE16" s="6">
        <f>'01 Assumptions'!$E$36</f>
        <v>1200000</v>
      </c>
      <c r="AF16" s="6">
        <f>'01 Assumptions'!$E$36</f>
        <v>1200000</v>
      </c>
      <c r="AG16" s="6">
        <f>'01 Assumptions'!$E$36</f>
        <v>1200000</v>
      </c>
      <c r="AH16" s="6">
        <f>'01 Assumptions'!$E$36</f>
        <v>1200000</v>
      </c>
      <c r="AI16" s="6">
        <f>'01 Assumptions'!$E$36</f>
        <v>1200000</v>
      </c>
      <c r="AJ16" s="6">
        <f>'01 Assumptions'!$E$36</f>
        <v>1200000</v>
      </c>
      <c r="AK16" s="6">
        <f>'01 Assumptions'!$E$36</f>
        <v>1200000</v>
      </c>
    </row>
    <row r="17" spans="1:37">
      <c r="A17" s="24" t="s">
        <v>232</v>
      </c>
      <c r="B17" s="6">
        <f>'01 Assumptions'!$E$38</f>
        <v>1400000</v>
      </c>
      <c r="C17" s="6">
        <f>'01 Assumptions'!$E$38</f>
        <v>1400000</v>
      </c>
      <c r="D17" s="6">
        <f>'01 Assumptions'!$E$38</f>
        <v>1400000</v>
      </c>
      <c r="E17" s="6">
        <f>'01 Assumptions'!$E$38</f>
        <v>1400000</v>
      </c>
      <c r="F17" s="6">
        <f>'01 Assumptions'!$E$38</f>
        <v>1400000</v>
      </c>
      <c r="G17" s="6">
        <f>'01 Assumptions'!$E$38</f>
        <v>1400000</v>
      </c>
      <c r="H17" s="6">
        <f>'01 Assumptions'!$E$38</f>
        <v>1400000</v>
      </c>
      <c r="I17" s="6">
        <f>'01 Assumptions'!$E$38</f>
        <v>1400000</v>
      </c>
      <c r="J17" s="6">
        <f>'01 Assumptions'!$E$38</f>
        <v>1400000</v>
      </c>
      <c r="K17" s="6">
        <f>'01 Assumptions'!$E$38</f>
        <v>1400000</v>
      </c>
      <c r="L17" s="6">
        <f>'01 Assumptions'!$E$38</f>
        <v>1400000</v>
      </c>
      <c r="M17" s="6">
        <f>'01 Assumptions'!$E$38</f>
        <v>1400000</v>
      </c>
      <c r="N17" s="6">
        <f>'01 Assumptions'!$E$38</f>
        <v>1400000</v>
      </c>
      <c r="O17" s="6">
        <f>'01 Assumptions'!$E$38</f>
        <v>1400000</v>
      </c>
      <c r="P17" s="6">
        <f>'01 Assumptions'!$E$38</f>
        <v>1400000</v>
      </c>
      <c r="Q17" s="6">
        <f>'01 Assumptions'!$E$38</f>
        <v>1400000</v>
      </c>
      <c r="R17" s="6">
        <f>'01 Assumptions'!$E$38</f>
        <v>1400000</v>
      </c>
      <c r="S17" s="6">
        <f>'01 Assumptions'!$E$38</f>
        <v>1400000</v>
      </c>
      <c r="T17" s="6">
        <f>'01 Assumptions'!$E$38</f>
        <v>1400000</v>
      </c>
      <c r="U17" s="6">
        <f>'01 Assumptions'!$E$38</f>
        <v>1400000</v>
      </c>
      <c r="V17" s="6">
        <f>'01 Assumptions'!$E$38</f>
        <v>1400000</v>
      </c>
      <c r="W17" s="6">
        <f>'01 Assumptions'!$E$38</f>
        <v>1400000</v>
      </c>
      <c r="X17" s="6">
        <f>'01 Assumptions'!$E$38</f>
        <v>1400000</v>
      </c>
      <c r="Y17" s="6">
        <f>'01 Assumptions'!$E$38</f>
        <v>1400000</v>
      </c>
      <c r="Z17" s="6">
        <f>'01 Assumptions'!$E$38</f>
        <v>1400000</v>
      </c>
      <c r="AA17" s="6">
        <f>'01 Assumptions'!$E$38</f>
        <v>1400000</v>
      </c>
      <c r="AB17" s="6">
        <f>'01 Assumptions'!$E$38</f>
        <v>1400000</v>
      </c>
      <c r="AC17" s="6">
        <f>'01 Assumptions'!$E$38</f>
        <v>1400000</v>
      </c>
      <c r="AD17" s="6">
        <f>'01 Assumptions'!$E$38</f>
        <v>1400000</v>
      </c>
      <c r="AE17" s="6">
        <f>'01 Assumptions'!$E$38</f>
        <v>1400000</v>
      </c>
      <c r="AF17" s="6">
        <f>'01 Assumptions'!$E$38</f>
        <v>1400000</v>
      </c>
      <c r="AG17" s="6">
        <f>'01 Assumptions'!$E$38</f>
        <v>1400000</v>
      </c>
      <c r="AH17" s="6">
        <f>'01 Assumptions'!$E$38</f>
        <v>1400000</v>
      </c>
      <c r="AI17" s="6">
        <f>'01 Assumptions'!$E$38</f>
        <v>1400000</v>
      </c>
      <c r="AJ17" s="6">
        <f>'01 Assumptions'!$E$38</f>
        <v>1400000</v>
      </c>
      <c r="AK17" s="6">
        <f>'01 Assumptions'!$E$38</f>
        <v>1400000</v>
      </c>
    </row>
    <row r="18" spans="1:37">
      <c r="A18" s="29" t="s">
        <v>233</v>
      </c>
      <c r="B18" s="30">
        <f t="shared" ref="B18:AK18" si="1">SUM(B13:B17)</f>
        <v>5295279.5625</v>
      </c>
      <c r="C18" s="30">
        <f t="shared" si="1"/>
        <v>5352134.3403125</v>
      </c>
      <c r="D18" s="30">
        <f t="shared" si="1"/>
        <v>5411186.10621406</v>
      </c>
      <c r="E18" s="30">
        <f t="shared" si="1"/>
        <v>5472621.96294188</v>
      </c>
      <c r="F18" s="30">
        <f t="shared" si="1"/>
        <v>5536640.24958743</v>
      </c>
      <c r="G18" s="30">
        <f t="shared" si="1"/>
        <v>5603451.36197478</v>
      </c>
      <c r="H18" s="30">
        <f t="shared" si="1"/>
        <v>5673278.62853746</v>
      </c>
      <c r="I18" s="30">
        <f t="shared" si="1"/>
        <v>5746359.24571802</v>
      </c>
      <c r="J18" s="30">
        <f t="shared" si="1"/>
        <v>5822945.27720758</v>
      </c>
      <c r="K18" s="30">
        <f t="shared" si="1"/>
        <v>5903304.7216574</v>
      </c>
      <c r="L18" s="30">
        <f t="shared" si="1"/>
        <v>5987722.65383334</v>
      </c>
      <c r="M18" s="30">
        <f t="shared" si="1"/>
        <v>6076502.444549</v>
      </c>
      <c r="N18" s="30">
        <f t="shared" si="1"/>
        <v>6169967.06510554</v>
      </c>
      <c r="O18" s="30">
        <f t="shared" si="1"/>
        <v>6268460.48238877</v>
      </c>
      <c r="P18" s="30">
        <f t="shared" si="1"/>
        <v>6372349.15122907</v>
      </c>
      <c r="Q18" s="30">
        <f t="shared" si="1"/>
        <v>6482023.61111931</v>
      </c>
      <c r="R18" s="30">
        <f t="shared" si="1"/>
        <v>6597900.19491331</v>
      </c>
      <c r="S18" s="30">
        <f t="shared" si="1"/>
        <v>6720422.85769577</v>
      </c>
      <c r="T18" s="30">
        <f t="shared" si="1"/>
        <v>6850065.1346263</v>
      </c>
      <c r="U18" s="30">
        <f t="shared" si="1"/>
        <v>6987332.2372196</v>
      </c>
      <c r="V18" s="30">
        <f t="shared" si="1"/>
        <v>7132763.29823468</v>
      </c>
      <c r="W18" s="30">
        <f t="shared" si="1"/>
        <v>7286933.7761114</v>
      </c>
      <c r="X18" s="30">
        <f t="shared" si="1"/>
        <v>7450458.03071865</v>
      </c>
      <c r="Y18" s="30">
        <f t="shared" si="1"/>
        <v>7623992.08306811</v>
      </c>
      <c r="Z18" s="30">
        <f t="shared" si="1"/>
        <v>7808236.57260778</v>
      </c>
      <c r="AA18" s="30">
        <f t="shared" si="1"/>
        <v>8003939.92674427</v>
      </c>
      <c r="AB18" s="30">
        <f t="shared" si="1"/>
        <v>8211901.75835976</v>
      </c>
      <c r="AC18" s="30">
        <f t="shared" si="1"/>
        <v>8432976.50829419</v>
      </c>
      <c r="AD18" s="30">
        <f t="shared" si="1"/>
        <v>8668077.35106316</v>
      </c>
      <c r="AE18" s="30">
        <f t="shared" si="1"/>
        <v>8918180.3834854</v>
      </c>
      <c r="AF18" s="30">
        <f t="shared" si="1"/>
        <v>9184329.11740792</v>
      </c>
      <c r="AG18" s="30">
        <f t="shared" si="1"/>
        <v>9467639.29935226</v>
      </c>
      <c r="AH18" s="30">
        <f t="shared" si="1"/>
        <v>9769304.08167119</v>
      </c>
      <c r="AI18" s="30">
        <f t="shared" si="1"/>
        <v>10090599.5717119</v>
      </c>
      <c r="AJ18" s="30">
        <f t="shared" si="1"/>
        <v>10432890.7875424</v>
      </c>
      <c r="AK18" s="30">
        <f t="shared" si="1"/>
        <v>10797638.051022</v>
      </c>
    </row>
    <row r="19" spans="1:37">
      <c r="A19" s="29" t="s">
        <v>234</v>
      </c>
      <c r="B19" s="30">
        <f t="shared" ref="B19:AK19" si="2">B12+B18</f>
        <v>9363952.0625</v>
      </c>
      <c r="C19" s="30">
        <f t="shared" si="2"/>
        <v>9557250.8028125</v>
      </c>
      <c r="D19" s="30">
        <f t="shared" si="2"/>
        <v>9759574.95502656</v>
      </c>
      <c r="E19" s="30">
        <f t="shared" si="2"/>
        <v>9971704.31835845</v>
      </c>
      <c r="F19" s="30">
        <f t="shared" si="2"/>
        <v>10194473.861856</v>
      </c>
      <c r="G19" s="30">
        <f t="shared" si="2"/>
        <v>10428778.211217</v>
      </c>
      <c r="H19" s="30">
        <f t="shared" si="2"/>
        <v>10675576.492314</v>
      </c>
      <c r="I19" s="30">
        <f t="shared" si="2"/>
        <v>10935897.561136</v>
      </c>
      <c r="J19" s="30">
        <f t="shared" si="2"/>
        <v>11210845.6523666</v>
      </c>
      <c r="K19" s="30">
        <f t="shared" si="2"/>
        <v>11501606.4815364</v>
      </c>
      <c r="L19" s="30">
        <f t="shared" si="2"/>
        <v>11809453.8386473</v>
      </c>
      <c r="M19" s="30">
        <f t="shared" si="2"/>
        <v>12135756.7143794</v>
      </c>
      <c r="N19" s="30">
        <f t="shared" si="2"/>
        <v>12481987.0034788</v>
      </c>
      <c r="O19" s="30">
        <f t="shared" si="2"/>
        <v>12849727.833722</v>
      </c>
      <c r="P19" s="30">
        <f t="shared" si="2"/>
        <v>13240682.572971</v>
      </c>
      <c r="Q19" s="30">
        <f t="shared" si="2"/>
        <v>13656684.5713163</v>
      </c>
      <c r="R19" s="30">
        <f t="shared" si="2"/>
        <v>14099707.7001715</v>
      </c>
      <c r="S19" s="30">
        <f t="shared" si="2"/>
        <v>14571877.755478</v>
      </c>
      <c r="T19" s="30">
        <f t="shared" si="2"/>
        <v>15075484.7979327</v>
      </c>
      <c r="U19" s="30">
        <f t="shared" si="2"/>
        <v>15612996.509404</v>
      </c>
      <c r="V19" s="30">
        <f t="shared" si="2"/>
        <v>16187072.6515062</v>
      </c>
      <c r="W19" s="30">
        <f t="shared" si="2"/>
        <v>16800580.7196967</v>
      </c>
      <c r="X19" s="30">
        <f t="shared" si="2"/>
        <v>17456612.8943016</v>
      </c>
      <c r="Y19" s="30">
        <f t="shared" si="2"/>
        <v>18158504.3986223</v>
      </c>
      <c r="Z19" s="30">
        <f t="shared" si="2"/>
        <v>18909853.3837887</v>
      </c>
      <c r="AA19" s="30">
        <f t="shared" si="2"/>
        <v>19714542.470369</v>
      </c>
      <c r="AB19" s="30">
        <f t="shared" si="2"/>
        <v>20576762.0880046</v>
      </c>
      <c r="AC19" s="30">
        <f t="shared" si="2"/>
        <v>21501035.7665765</v>
      </c>
      <c r="AD19" s="30">
        <f t="shared" si="2"/>
        <v>22492247.5457375</v>
      </c>
      <c r="AE19" s="30">
        <f t="shared" si="2"/>
        <v>23555671.6841295</v>
      </c>
      <c r="AF19" s="30">
        <f t="shared" si="2"/>
        <v>24697004.8653823</v>
      </c>
      <c r="AG19" s="30">
        <f t="shared" si="2"/>
        <v>25922401.1151451</v>
      </c>
      <c r="AH19" s="30">
        <f t="shared" si="2"/>
        <v>27238509.66208</v>
      </c>
      <c r="AI19" s="30">
        <f t="shared" si="2"/>
        <v>28652515.9960712</v>
      </c>
      <c r="AJ19" s="30">
        <f t="shared" si="2"/>
        <v>30172186.3990244</v>
      </c>
      <c r="AK19" s="30">
        <f t="shared" si="2"/>
        <v>31805916.24771</v>
      </c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2">
    <mergeCell ref="A1:AK1"/>
    <mergeCell ref="A2:AK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workbookViewId="0">
      <selection activeCell="A1" sqref="A1:AK1"/>
    </sheetView>
  </sheetViews>
  <sheetFormatPr defaultColWidth="9" defaultRowHeight="14"/>
  <cols>
    <col min="1" max="1" width="34" customWidth="1"/>
    <col min="2" max="37" width="13" customWidth="1"/>
  </cols>
  <sheetData>
    <row r="1" ht="30" customHeight="1" spans="1:37">
      <c r="A1" s="1" t="s">
        <v>17</v>
      </c>
    </row>
    <row r="2" ht="30" customHeight="1" spans="1:37">
      <c r="A2" s="2" t="s">
        <v>235</v>
      </c>
    </row>
    <row r="5" spans="1:37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166</v>
      </c>
      <c r="P5" s="3" t="s">
        <v>167</v>
      </c>
      <c r="Q5" s="3" t="s">
        <v>168</v>
      </c>
      <c r="R5" s="3" t="s">
        <v>169</v>
      </c>
      <c r="S5" s="3" t="s">
        <v>170</v>
      </c>
      <c r="T5" s="3" t="s">
        <v>171</v>
      </c>
      <c r="U5" s="3" t="s">
        <v>172</v>
      </c>
      <c r="V5" s="3" t="s">
        <v>173</v>
      </c>
      <c r="W5" s="3" t="s">
        <v>174</v>
      </c>
      <c r="X5" s="3" t="s">
        <v>175</v>
      </c>
      <c r="Y5" s="3" t="s">
        <v>176</v>
      </c>
      <c r="Z5" s="3" t="s">
        <v>177</v>
      </c>
      <c r="AA5" s="3" t="s">
        <v>178</v>
      </c>
      <c r="AB5" s="3" t="s">
        <v>179</v>
      </c>
      <c r="AC5" s="3" t="s">
        <v>180</v>
      </c>
      <c r="AD5" s="3" t="s">
        <v>181</v>
      </c>
      <c r="AE5" s="3" t="s">
        <v>182</v>
      </c>
      <c r="AF5" s="3" t="s">
        <v>183</v>
      </c>
      <c r="AG5" s="3" t="s">
        <v>184</v>
      </c>
      <c r="AH5" s="3" t="s">
        <v>185</v>
      </c>
      <c r="AI5" s="3" t="s">
        <v>186</v>
      </c>
      <c r="AJ5" s="3" t="s">
        <v>187</v>
      </c>
      <c r="AK5" s="3" t="s">
        <v>188</v>
      </c>
    </row>
    <row r="6" spans="1:37">
      <c r="A6" s="24" t="s">
        <v>217</v>
      </c>
      <c r="B6" s="6">
        <f>'03 Revenue Forecast'!B17</f>
        <v>5134401.25</v>
      </c>
      <c r="C6" s="6">
        <f>'03 Revenue Forecast'!C17</f>
        <v>6770398.45625</v>
      </c>
      <c r="D6" s="6">
        <f>'03 Revenue Forecast'!D17</f>
        <v>8460377.31653125</v>
      </c>
      <c r="E6" s="6">
        <f>'03 Revenue Forecast'!E17</f>
        <v>10209456.7706089</v>
      </c>
      <c r="F6" s="6">
        <f>'03 Revenue Forecast'!F17</f>
        <v>12023077.977149</v>
      </c>
      <c r="G6" s="6">
        <f>'03 Revenue Forecast'!G17</f>
        <v>13907029.8520003</v>
      </c>
      <c r="H6" s="6">
        <f>'03 Revenue Forecast'!H17</f>
        <v>15867476.4961275</v>
      </c>
      <c r="I6" s="6">
        <f>'03 Revenue Forecast'!I17</f>
        <v>17910986.6641422</v>
      </c>
      <c r="J6" s="6">
        <f>'03 Revenue Forecast'!J17</f>
        <v>20044565.4365615</v>
      </c>
      <c r="K6" s="6">
        <f>'03 Revenue Forecast'!K17</f>
        <v>22275688.2721283</v>
      </c>
      <c r="L6" s="6">
        <f>'03 Revenue Forecast'!L17</f>
        <v>24612337.6308423</v>
      </c>
      <c r="M6" s="6">
        <f>'03 Revenue Forecast'!M17</f>
        <v>27063042.3738666</v>
      </c>
      <c r="N6" s="6">
        <f>'03 Revenue Forecast'!N17</f>
        <v>29636920.1633001</v>
      </c>
      <c r="O6" s="6">
        <f>'03 Revenue Forecast'!O17</f>
        <v>32343723.103051</v>
      </c>
      <c r="P6" s="6">
        <f>'03 Revenue Forecast'!P17</f>
        <v>35193886.8818336</v>
      </c>
      <c r="Q6" s="6">
        <f>'03 Revenue Forecast'!Q17</f>
        <v>38198583.7007734</v>
      </c>
      <c r="R6" s="6">
        <f>'03 Revenue Forecast'!R17</f>
        <v>41369779.2913915</v>
      </c>
      <c r="S6" s="6">
        <f>'03 Revenue Forecast'!S17</f>
        <v>44720294.3549998</v>
      </c>
      <c r="T6" s="6">
        <f>'03 Revenue Forecast'!T17</f>
        <v>48263870.7819559</v>
      </c>
      <c r="U6" s="6">
        <f>'03 Revenue Forecast'!U17</f>
        <v>52015243.0389759</v>
      </c>
      <c r="V6" s="6">
        <f>'03 Revenue Forecast'!V17</f>
        <v>55990215.1450002</v>
      </c>
      <c r="W6" s="6">
        <f>'03 Revenue Forecast'!W17</f>
        <v>60205743.6911639</v>
      </c>
      <c r="X6" s="6">
        <f>'03 Revenue Forecast'!X17</f>
        <v>64680027.398488</v>
      </c>
      <c r="Y6" s="6">
        <f>'03 Revenue Forecast'!Y17</f>
        <v>69432603.7482409</v>
      </c>
      <c r="Z6" s="6">
        <f>'03 Revenue Forecast'!Z17</f>
        <v>74484453.264806</v>
      </c>
      <c r="AA6" s="6">
        <f>'03 Revenue Forecast'!AA17</f>
        <v>79858112.0796496</v>
      </c>
      <c r="AB6" s="6">
        <f>'03 Revenue Forecast'!AB17</f>
        <v>85577793.4579462</v>
      </c>
      <c r="AC6" s="6">
        <f>'03 Revenue Forecast'!AC17</f>
        <v>91669519.0269621</v>
      </c>
      <c r="AD6" s="6">
        <f>'03 Revenue Forecast'!AD17</f>
        <v>98161260.5078231</v>
      </c>
      <c r="AE6" s="6">
        <f>'03 Revenue Forecast'!AE17</f>
        <v>105083092.820244</v>
      </c>
      <c r="AF6" s="6">
        <f>'03 Revenue Forecast'!AF17</f>
        <v>112467359.503649</v>
      </c>
      <c r="AG6" s="6">
        <f>'03 Revenue Forecast'!AG17</f>
        <v>120348851.47838</v>
      </c>
      <c r="AH6" s="6">
        <f>'03 Revenue Forecast'!AH17</f>
        <v>128765000.257996</v>
      </c>
      <c r="AI6" s="6">
        <f>'03 Revenue Forecast'!AI17</f>
        <v>137756086.818504</v>
      </c>
      <c r="AJ6" s="6">
        <f>'03 Revenue Forecast'!AJ17</f>
        <v>147365467.433608</v>
      </c>
      <c r="AK6" s="6">
        <f>'03 Revenue Forecast'!AK17</f>
        <v>157639817.897244</v>
      </c>
    </row>
    <row r="7" spans="1:37">
      <c r="A7" s="24" t="s">
        <v>236</v>
      </c>
      <c r="B7" s="6">
        <f>'04 Cost Forecast'!B12</f>
        <v>4068672.5</v>
      </c>
      <c r="C7" s="6">
        <f>'04 Cost Forecast'!C12</f>
        <v>4205116.4625</v>
      </c>
      <c r="D7" s="6">
        <f>'04 Cost Forecast'!D12</f>
        <v>4348388.8488125</v>
      </c>
      <c r="E7" s="6">
        <f>'04 Cost Forecast'!E12</f>
        <v>4499082.35541656</v>
      </c>
      <c r="F7" s="6">
        <f>'04 Cost Forecast'!F12</f>
        <v>4657833.61226855</v>
      </c>
      <c r="G7" s="6">
        <f>'04 Cost Forecast'!G12</f>
        <v>4825326.84924222</v>
      </c>
      <c r="H7" s="6">
        <f>'04 Cost Forecast'!H12</f>
        <v>5002297.86377649</v>
      </c>
      <c r="I7" s="6">
        <f>'04 Cost Forecast'!I12</f>
        <v>5189538.31541798</v>
      </c>
      <c r="J7" s="6">
        <f>'04 Cost Forecast'!J12</f>
        <v>5387900.37515907</v>
      </c>
      <c r="K7" s="6">
        <f>'04 Cost Forecast'!K12</f>
        <v>5598301.75987899</v>
      </c>
      <c r="L7" s="6">
        <f>'04 Cost Forecast'!L12</f>
        <v>5821731.18481397</v>
      </c>
      <c r="M7" s="6">
        <f>'04 Cost Forecast'!M12</f>
        <v>6059254.26983037</v>
      </c>
      <c r="N7" s="6">
        <f>'04 Cost Forecast'!N12</f>
        <v>6312019.93837324</v>
      </c>
      <c r="O7" s="6">
        <f>'04 Cost Forecast'!O12</f>
        <v>6581267.35133319</v>
      </c>
      <c r="P7" s="6">
        <f>'04 Cost Forecast'!P12</f>
        <v>6868333.42174193</v>
      </c>
      <c r="Q7" s="6">
        <f>'04 Cost Forecast'!Q12</f>
        <v>7174660.96019702</v>
      </c>
      <c r="R7" s="6">
        <f>'04 Cost Forecast'!R12</f>
        <v>7501807.50525815</v>
      </c>
      <c r="S7" s="6">
        <f>'04 Cost Forecast'!S12</f>
        <v>7851454.89778224</v>
      </c>
      <c r="T7" s="6">
        <f>'04 Cost Forecast'!T12</f>
        <v>8225419.66330644</v>
      </c>
      <c r="U7" s="6">
        <f>'04 Cost Forecast'!U12</f>
        <v>8625664.27218438</v>
      </c>
      <c r="V7" s="6">
        <f>'04 Cost Forecast'!V12</f>
        <v>9054309.35327148</v>
      </c>
      <c r="W7" s="6">
        <f>'04 Cost Forecast'!W12</f>
        <v>9513646.9435853</v>
      </c>
      <c r="X7" s="6">
        <f>'04 Cost Forecast'!X12</f>
        <v>10006154.863583</v>
      </c>
      <c r="Y7" s="6">
        <f>'04 Cost Forecast'!Y12</f>
        <v>10534512.3155542</v>
      </c>
      <c r="Z7" s="6">
        <f>'04 Cost Forecast'!Z12</f>
        <v>11101616.8111809</v>
      </c>
      <c r="AA7" s="6">
        <f>'04 Cost Forecast'!AA12</f>
        <v>11710602.5436248</v>
      </c>
      <c r="AB7" s="6">
        <f>'04 Cost Forecast'!AB12</f>
        <v>12364860.3296448</v>
      </c>
      <c r="AC7" s="6">
        <f>'04 Cost Forecast'!AC12</f>
        <v>13068059.2582823</v>
      </c>
      <c r="AD7" s="6">
        <f>'04 Cost Forecast'!AD12</f>
        <v>13824170.1946743</v>
      </c>
      <c r="AE7" s="6">
        <f>'04 Cost Forecast'!AE12</f>
        <v>14637491.3006441</v>
      </c>
      <c r="AF7" s="6">
        <f>'04 Cost Forecast'!AF12</f>
        <v>15512675.7479744</v>
      </c>
      <c r="AG7" s="6">
        <f>'04 Cost Forecast'!AG12</f>
        <v>16454761.8157929</v>
      </c>
      <c r="AH7" s="6">
        <f>'04 Cost Forecast'!AH12</f>
        <v>17469205.5804088</v>
      </c>
      <c r="AI7" s="6">
        <f>'04 Cost Forecast'!AI12</f>
        <v>18561916.4243593</v>
      </c>
      <c r="AJ7" s="6">
        <f>'04 Cost Forecast'!AJ12</f>
        <v>19739295.611482</v>
      </c>
      <c r="AK7" s="6">
        <f>'04 Cost Forecast'!AK12</f>
        <v>21008278.196688</v>
      </c>
    </row>
    <row r="8" spans="1:37">
      <c r="A8" s="26" t="s">
        <v>237</v>
      </c>
      <c r="B8" s="27">
        <f t="shared" ref="B8:AK8" si="0">B6-B7</f>
        <v>1065728.75</v>
      </c>
      <c r="C8" s="27">
        <f t="shared" si="0"/>
        <v>2565281.99375</v>
      </c>
      <c r="D8" s="27">
        <f t="shared" si="0"/>
        <v>4111988.46771875</v>
      </c>
      <c r="E8" s="27">
        <f t="shared" si="0"/>
        <v>5710374.41519235</v>
      </c>
      <c r="F8" s="27">
        <f t="shared" si="0"/>
        <v>7365244.36488046</v>
      </c>
      <c r="G8" s="27">
        <f t="shared" si="0"/>
        <v>9081703.00275806</v>
      </c>
      <c r="H8" s="27">
        <f t="shared" si="0"/>
        <v>10865178.632351</v>
      </c>
      <c r="I8" s="27">
        <f t="shared" si="0"/>
        <v>12721448.3487242</v>
      </c>
      <c r="J8" s="27">
        <f t="shared" si="0"/>
        <v>14656665.0614025</v>
      </c>
      <c r="K8" s="27">
        <f t="shared" si="0"/>
        <v>16677386.5122493</v>
      </c>
      <c r="L8" s="27">
        <f t="shared" si="0"/>
        <v>18790606.4460283</v>
      </c>
      <c r="M8" s="27">
        <f t="shared" si="0"/>
        <v>21003788.1040362</v>
      </c>
      <c r="N8" s="27">
        <f t="shared" si="0"/>
        <v>23324900.2249268</v>
      </c>
      <c r="O8" s="27">
        <f t="shared" si="0"/>
        <v>25762455.7517178</v>
      </c>
      <c r="P8" s="27">
        <f t="shared" si="0"/>
        <v>28325553.4600917</v>
      </c>
      <c r="Q8" s="27">
        <f t="shared" si="0"/>
        <v>31023922.7405764</v>
      </c>
      <c r="R8" s="27">
        <f t="shared" si="0"/>
        <v>33867971.7861333</v>
      </c>
      <c r="S8" s="27">
        <f t="shared" si="0"/>
        <v>36868839.4572175</v>
      </c>
      <c r="T8" s="27">
        <f t="shared" si="0"/>
        <v>40038451.1186494</v>
      </c>
      <c r="U8" s="27">
        <f t="shared" si="0"/>
        <v>43389578.7667915</v>
      </c>
      <c r="V8" s="27">
        <f t="shared" si="0"/>
        <v>46935905.7917288</v>
      </c>
      <c r="W8" s="27">
        <f t="shared" si="0"/>
        <v>50692096.7475786</v>
      </c>
      <c r="X8" s="27">
        <f t="shared" si="0"/>
        <v>54673872.5349051</v>
      </c>
      <c r="Y8" s="27">
        <f t="shared" si="0"/>
        <v>58898091.4326867</v>
      </c>
      <c r="Z8" s="27">
        <f t="shared" si="0"/>
        <v>63382836.4536251</v>
      </c>
      <c r="AA8" s="27">
        <f t="shared" si="0"/>
        <v>68147509.5360248</v>
      </c>
      <c r="AB8" s="27">
        <f t="shared" si="0"/>
        <v>73212933.1283014</v>
      </c>
      <c r="AC8" s="27">
        <f t="shared" si="0"/>
        <v>78601459.7686798</v>
      </c>
      <c r="AD8" s="27">
        <f t="shared" si="0"/>
        <v>84337090.3131488</v>
      </c>
      <c r="AE8" s="27">
        <f t="shared" si="0"/>
        <v>90445601.5196003</v>
      </c>
      <c r="AF8" s="27">
        <f t="shared" si="0"/>
        <v>96954683.7556742</v>
      </c>
      <c r="AG8" s="27">
        <f t="shared" si="0"/>
        <v>103894089.662587</v>
      </c>
      <c r="AH8" s="27">
        <f t="shared" si="0"/>
        <v>111295794.677587</v>
      </c>
      <c r="AI8" s="27">
        <f t="shared" si="0"/>
        <v>119194170.394145</v>
      </c>
      <c r="AJ8" s="27">
        <f t="shared" si="0"/>
        <v>127626171.822126</v>
      </c>
      <c r="AK8" s="27">
        <f t="shared" si="0"/>
        <v>136631539.700556</v>
      </c>
    </row>
    <row r="9" spans="1:37">
      <c r="A9" s="26" t="s">
        <v>238</v>
      </c>
      <c r="B9" s="28">
        <f t="shared" ref="B9:AK9" si="1">IFERROR(B8/B6,0)</f>
        <v>0.20756631554653</v>
      </c>
      <c r="C9" s="28">
        <f t="shared" si="1"/>
        <v>0.378896753319134</v>
      </c>
      <c r="D9" s="28">
        <f t="shared" si="1"/>
        <v>0.486028969379898</v>
      </c>
      <c r="E9" s="28">
        <f t="shared" si="1"/>
        <v>0.559322062230718</v>
      </c>
      <c r="F9" s="28">
        <f t="shared" si="1"/>
        <v>0.612592247915118</v>
      </c>
      <c r="G9" s="28">
        <f t="shared" si="1"/>
        <v>0.653029661934019</v>
      </c>
      <c r="H9" s="28">
        <f t="shared" si="1"/>
        <v>0.684745216733277</v>
      </c>
      <c r="I9" s="28">
        <f t="shared" si="1"/>
        <v>0.710259495318176</v>
      </c>
      <c r="J9" s="28">
        <f t="shared" si="1"/>
        <v>0.731203931947985</v>
      </c>
      <c r="K9" s="28">
        <f t="shared" si="1"/>
        <v>0.748681087134637</v>
      </c>
      <c r="L9" s="28">
        <f t="shared" si="1"/>
        <v>0.763462891167289</v>
      </c>
      <c r="M9" s="28">
        <f t="shared" si="1"/>
        <v>0.77610594603061</v>
      </c>
      <c r="N9" s="28">
        <f t="shared" si="1"/>
        <v>0.787021731556657</v>
      </c>
      <c r="O9" s="28">
        <f t="shared" si="1"/>
        <v>0.7965210334517</v>
      </c>
      <c r="P9" s="28">
        <f t="shared" si="1"/>
        <v>0.804842998876398</v>
      </c>
      <c r="Q9" s="28">
        <f t="shared" si="1"/>
        <v>0.812174686464835</v>
      </c>
      <c r="R9" s="28">
        <f t="shared" si="1"/>
        <v>0.818664550941436</v>
      </c>
      <c r="S9" s="28">
        <f t="shared" si="1"/>
        <v>0.824431949498015</v>
      </c>
      <c r="T9" s="28">
        <f t="shared" si="1"/>
        <v>0.829573974692854</v>
      </c>
      <c r="U9" s="28">
        <f t="shared" si="1"/>
        <v>0.834170451424768</v>
      </c>
      <c r="V9" s="28">
        <f t="shared" si="1"/>
        <v>0.838287648478879</v>
      </c>
      <c r="W9" s="28">
        <f t="shared" si="1"/>
        <v>0.841981074224625</v>
      </c>
      <c r="X9" s="28">
        <f t="shared" si="1"/>
        <v>0.845297609385106</v>
      </c>
      <c r="Y9" s="28">
        <f t="shared" si="1"/>
        <v>0.848277152996424</v>
      </c>
      <c r="Z9" s="28">
        <f t="shared" si="1"/>
        <v>0.850953906156596</v>
      </c>
      <c r="AA9" s="28">
        <f t="shared" si="1"/>
        <v>0.853357383005188</v>
      </c>
      <c r="AB9" s="28">
        <f t="shared" si="1"/>
        <v>0.855513214000767</v>
      </c>
      <c r="AC9" s="28">
        <f t="shared" si="1"/>
        <v>0.857443789418828</v>
      </c>
      <c r="AD9" s="28">
        <f t="shared" si="1"/>
        <v>0.859168778771208</v>
      </c>
      <c r="AE9" s="28">
        <f t="shared" si="1"/>
        <v>0.86070555302666</v>
      </c>
      <c r="AF9" s="28">
        <f t="shared" si="1"/>
        <v>0.862069530071335</v>
      </c>
      <c r="AG9" s="28">
        <f t="shared" si="1"/>
        <v>0.863274459094038</v>
      </c>
      <c r="AH9" s="28">
        <f t="shared" si="1"/>
        <v>0.864332656036911</v>
      </c>
      <c r="AI9" s="28">
        <f t="shared" si="1"/>
        <v>0.865255199584647</v>
      </c>
      <c r="AJ9" s="28">
        <f t="shared" si="1"/>
        <v>0.866052095139758</v>
      </c>
      <c r="AK9" s="28">
        <f t="shared" si="1"/>
        <v>0.866732412680265</v>
      </c>
    </row>
    <row r="10" spans="1:37">
      <c r="A10" s="24" t="s">
        <v>239</v>
      </c>
      <c r="B10" s="6">
        <f>'04 Cost Forecast'!B18</f>
        <v>5295279.5625</v>
      </c>
      <c r="C10" s="6">
        <f>'04 Cost Forecast'!C18</f>
        <v>5352134.3403125</v>
      </c>
      <c r="D10" s="6">
        <f>'04 Cost Forecast'!D18</f>
        <v>5411186.10621406</v>
      </c>
      <c r="E10" s="6">
        <f>'04 Cost Forecast'!E18</f>
        <v>5472621.96294188</v>
      </c>
      <c r="F10" s="6">
        <f>'04 Cost Forecast'!F18</f>
        <v>5536640.24958743</v>
      </c>
      <c r="G10" s="6">
        <f>'04 Cost Forecast'!G18</f>
        <v>5603451.36197478</v>
      </c>
      <c r="H10" s="6">
        <f>'04 Cost Forecast'!H18</f>
        <v>5673278.62853746</v>
      </c>
      <c r="I10" s="6">
        <f>'04 Cost Forecast'!I18</f>
        <v>5746359.24571802</v>
      </c>
      <c r="J10" s="6">
        <f>'04 Cost Forecast'!J18</f>
        <v>5822945.27720758</v>
      </c>
      <c r="K10" s="6">
        <f>'04 Cost Forecast'!K18</f>
        <v>5903304.7216574</v>
      </c>
      <c r="L10" s="6">
        <f>'04 Cost Forecast'!L18</f>
        <v>5987722.65383334</v>
      </c>
      <c r="M10" s="6">
        <f>'04 Cost Forecast'!M18</f>
        <v>6076502.444549</v>
      </c>
      <c r="N10" s="6">
        <f>'04 Cost Forecast'!N18</f>
        <v>6169967.06510554</v>
      </c>
      <c r="O10" s="6">
        <f>'04 Cost Forecast'!O18</f>
        <v>6268460.48238877</v>
      </c>
      <c r="P10" s="6">
        <f>'04 Cost Forecast'!P18</f>
        <v>6372349.15122907</v>
      </c>
      <c r="Q10" s="6">
        <f>'04 Cost Forecast'!Q18</f>
        <v>6482023.61111931</v>
      </c>
      <c r="R10" s="6">
        <f>'04 Cost Forecast'!R18</f>
        <v>6597900.19491331</v>
      </c>
      <c r="S10" s="6">
        <f>'04 Cost Forecast'!S18</f>
        <v>6720422.85769577</v>
      </c>
      <c r="T10" s="6">
        <f>'04 Cost Forecast'!T18</f>
        <v>6850065.1346263</v>
      </c>
      <c r="U10" s="6">
        <f>'04 Cost Forecast'!U18</f>
        <v>6987332.2372196</v>
      </c>
      <c r="V10" s="6">
        <f>'04 Cost Forecast'!V18</f>
        <v>7132763.29823468</v>
      </c>
      <c r="W10" s="6">
        <f>'04 Cost Forecast'!W18</f>
        <v>7286933.7761114</v>
      </c>
      <c r="X10" s="6">
        <f>'04 Cost Forecast'!X18</f>
        <v>7450458.03071865</v>
      </c>
      <c r="Y10" s="6">
        <f>'04 Cost Forecast'!Y18</f>
        <v>7623992.08306811</v>
      </c>
      <c r="Z10" s="6">
        <f>'04 Cost Forecast'!Z18</f>
        <v>7808236.57260778</v>
      </c>
      <c r="AA10" s="6">
        <f>'04 Cost Forecast'!AA18</f>
        <v>8003939.92674427</v>
      </c>
      <c r="AB10" s="6">
        <f>'04 Cost Forecast'!AB18</f>
        <v>8211901.75835976</v>
      </c>
      <c r="AC10" s="6">
        <f>'04 Cost Forecast'!AC18</f>
        <v>8432976.50829419</v>
      </c>
      <c r="AD10" s="6">
        <f>'04 Cost Forecast'!AD18</f>
        <v>8668077.35106316</v>
      </c>
      <c r="AE10" s="6">
        <f>'04 Cost Forecast'!AE18</f>
        <v>8918180.3834854</v>
      </c>
      <c r="AF10" s="6">
        <f>'04 Cost Forecast'!AF18</f>
        <v>9184329.11740792</v>
      </c>
      <c r="AG10" s="6">
        <f>'04 Cost Forecast'!AG18</f>
        <v>9467639.29935226</v>
      </c>
      <c r="AH10" s="6">
        <f>'04 Cost Forecast'!AH18</f>
        <v>9769304.08167119</v>
      </c>
      <c r="AI10" s="6">
        <f>'04 Cost Forecast'!AI18</f>
        <v>10090599.5717119</v>
      </c>
      <c r="AJ10" s="6">
        <f>'04 Cost Forecast'!AJ18</f>
        <v>10432890.7875424</v>
      </c>
      <c r="AK10" s="6">
        <f>'04 Cost Forecast'!AK18</f>
        <v>10797638.051022</v>
      </c>
    </row>
    <row r="11" spans="1:37">
      <c r="A11" s="29" t="s">
        <v>240</v>
      </c>
      <c r="B11" s="30">
        <f t="shared" ref="B11:AK11" si="2">B8-B10</f>
        <v>-4229550.8125</v>
      </c>
      <c r="C11" s="30">
        <f t="shared" si="2"/>
        <v>-2786852.3465625</v>
      </c>
      <c r="D11" s="30">
        <f t="shared" si="2"/>
        <v>-1299197.63849531</v>
      </c>
      <c r="E11" s="30">
        <f t="shared" si="2"/>
        <v>237752.452250462</v>
      </c>
      <c r="F11" s="30">
        <f t="shared" si="2"/>
        <v>1828604.11529303</v>
      </c>
      <c r="G11" s="30">
        <f t="shared" si="2"/>
        <v>3478251.64078328</v>
      </c>
      <c r="H11" s="30">
        <f t="shared" si="2"/>
        <v>5191900.00381353</v>
      </c>
      <c r="I11" s="30">
        <f t="shared" si="2"/>
        <v>6975089.10300622</v>
      </c>
      <c r="J11" s="30">
        <f t="shared" si="2"/>
        <v>8833719.78419487</v>
      </c>
      <c r="K11" s="30">
        <f t="shared" si="2"/>
        <v>10774081.7905919</v>
      </c>
      <c r="L11" s="30">
        <f t="shared" si="2"/>
        <v>12802883.792195</v>
      </c>
      <c r="M11" s="30">
        <f t="shared" si="2"/>
        <v>14927285.6594872</v>
      </c>
      <c r="N11" s="30">
        <f t="shared" si="2"/>
        <v>17154933.1598213</v>
      </c>
      <c r="O11" s="30">
        <f t="shared" si="2"/>
        <v>19493995.2693291</v>
      </c>
      <c r="P11" s="30">
        <f t="shared" si="2"/>
        <v>21953204.3088626</v>
      </c>
      <c r="Q11" s="30">
        <f t="shared" si="2"/>
        <v>24541899.1294571</v>
      </c>
      <c r="R11" s="30">
        <f t="shared" si="2"/>
        <v>27270071.59122</v>
      </c>
      <c r="S11" s="30">
        <f t="shared" si="2"/>
        <v>30148416.5995218</v>
      </c>
      <c r="T11" s="30">
        <f t="shared" si="2"/>
        <v>33188385.9840231</v>
      </c>
      <c r="U11" s="30">
        <f t="shared" si="2"/>
        <v>36402246.5295719</v>
      </c>
      <c r="V11" s="30">
        <f t="shared" si="2"/>
        <v>39803142.4934941</v>
      </c>
      <c r="W11" s="30">
        <f t="shared" si="2"/>
        <v>43405162.9714672</v>
      </c>
      <c r="X11" s="30">
        <f t="shared" si="2"/>
        <v>47223414.5041864</v>
      </c>
      <c r="Y11" s="30">
        <f t="shared" si="2"/>
        <v>51274099.3496186</v>
      </c>
      <c r="Z11" s="30">
        <f t="shared" si="2"/>
        <v>55574599.8810173</v>
      </c>
      <c r="AA11" s="30">
        <f t="shared" si="2"/>
        <v>60143569.6092805</v>
      </c>
      <c r="AB11" s="30">
        <f t="shared" si="2"/>
        <v>65001031.3699417</v>
      </c>
      <c r="AC11" s="30">
        <f t="shared" si="2"/>
        <v>70168483.2603856</v>
      </c>
      <c r="AD11" s="30">
        <f t="shared" si="2"/>
        <v>75669012.9620856</v>
      </c>
      <c r="AE11" s="30">
        <f t="shared" si="2"/>
        <v>81527421.1361149</v>
      </c>
      <c r="AF11" s="30">
        <f t="shared" si="2"/>
        <v>87770354.6382663</v>
      </c>
      <c r="AG11" s="30">
        <f t="shared" si="2"/>
        <v>94426450.3632352</v>
      </c>
      <c r="AH11" s="30">
        <f t="shared" si="2"/>
        <v>101526490.595916</v>
      </c>
      <c r="AI11" s="30">
        <f t="shared" si="2"/>
        <v>109103570.822433</v>
      </c>
      <c r="AJ11" s="30">
        <f t="shared" si="2"/>
        <v>117193281.034584</v>
      </c>
      <c r="AK11" s="30">
        <f t="shared" si="2"/>
        <v>125833901.649534</v>
      </c>
    </row>
    <row r="12" spans="1:37">
      <c r="A12" s="29" t="s">
        <v>241</v>
      </c>
      <c r="B12" s="31">
        <f t="shared" ref="B12:AK12" si="3">IFERROR(B11/B6,0)</f>
        <v>-0.823767096991105</v>
      </c>
      <c r="C12" s="31">
        <f t="shared" si="3"/>
        <v>-0.411623091989491</v>
      </c>
      <c r="D12" s="31">
        <f t="shared" si="3"/>
        <v>-0.153562611912914</v>
      </c>
      <c r="E12" s="31">
        <f t="shared" si="3"/>
        <v>0.0232874733291301</v>
      </c>
      <c r="F12" s="31">
        <f t="shared" si="3"/>
        <v>0.152091179876606</v>
      </c>
      <c r="G12" s="31">
        <f t="shared" si="3"/>
        <v>0.250107440467096</v>
      </c>
      <c r="H12" s="31">
        <f t="shared" si="3"/>
        <v>0.32720388809655</v>
      </c>
      <c r="I12" s="31">
        <f t="shared" si="3"/>
        <v>0.389430757433947</v>
      </c>
      <c r="J12" s="31">
        <f t="shared" si="3"/>
        <v>0.440703980944484</v>
      </c>
      <c r="K12" s="31">
        <f t="shared" si="3"/>
        <v>0.483669984018973</v>
      </c>
      <c r="L12" s="31">
        <f t="shared" si="3"/>
        <v>0.520181544078584</v>
      </c>
      <c r="M12" s="31">
        <f t="shared" si="3"/>
        <v>0.551574558886318</v>
      </c>
      <c r="N12" s="31">
        <f t="shared" si="3"/>
        <v>0.578836568216172</v>
      </c>
      <c r="O12" s="31">
        <f t="shared" si="3"/>
        <v>0.602713398430318</v>
      </c>
      <c r="P12" s="31">
        <f t="shared" si="3"/>
        <v>0.623778907472548</v>
      </c>
      <c r="Q12" s="31">
        <f t="shared" si="3"/>
        <v>0.642481912986742</v>
      </c>
      <c r="R12" s="31">
        <f t="shared" si="3"/>
        <v>0.659178561218347</v>
      </c>
      <c r="S12" s="31">
        <f t="shared" si="3"/>
        <v>0.674155146658849</v>
      </c>
      <c r="T12" s="31">
        <f t="shared" si="3"/>
        <v>0.687644514339929</v>
      </c>
      <c r="U12" s="31">
        <f t="shared" si="3"/>
        <v>0.699838055208069</v>
      </c>
      <c r="V12" s="31">
        <f t="shared" si="3"/>
        <v>0.710894615968419</v>
      </c>
      <c r="W12" s="31">
        <f t="shared" si="3"/>
        <v>0.720947210520673</v>
      </c>
      <c r="X12" s="31">
        <f t="shared" si="3"/>
        <v>0.730108140079271</v>
      </c>
      <c r="Y12" s="31">
        <f t="shared" si="3"/>
        <v>0.738472944721126</v>
      </c>
      <c r="Z12" s="31">
        <f t="shared" si="3"/>
        <v>0.746123485439832</v>
      </c>
      <c r="AA12" s="31">
        <f t="shared" si="3"/>
        <v>0.753130371392878</v>
      </c>
      <c r="AB12" s="31">
        <f t="shared" si="3"/>
        <v>0.75955488852238</v>
      </c>
      <c r="AC12" s="31">
        <f t="shared" si="3"/>
        <v>0.765450544577936</v>
      </c>
      <c r="AD12" s="31">
        <f t="shared" si="3"/>
        <v>0.770864316234561</v>
      </c>
      <c r="AE12" s="31">
        <f t="shared" si="3"/>
        <v>0.775837662825323</v>
      </c>
      <c r="AF12" s="31">
        <f t="shared" si="3"/>
        <v>0.780407355748571</v>
      </c>
      <c r="AG12" s="31">
        <f t="shared" si="3"/>
        <v>0.78460616119962</v>
      </c>
      <c r="AH12" s="31">
        <f t="shared" si="3"/>
        <v>0.788463405370214</v>
      </c>
      <c r="AI12" s="31">
        <f t="shared" si="3"/>
        <v>0.792005444856884</v>
      </c>
      <c r="AJ12" s="31">
        <f t="shared" si="3"/>
        <v>0.795256060157935</v>
      </c>
      <c r="AK12" s="31">
        <f t="shared" si="3"/>
        <v>0.798236786416219</v>
      </c>
    </row>
    <row r="13" spans="1:37">
      <c r="A13" s="24" t="s">
        <v>242</v>
      </c>
      <c r="B13" s="6">
        <f t="shared" ref="B13:AK13" si="4">IF(B11&gt;0,B11*0,0)</f>
        <v>0</v>
      </c>
      <c r="C13" s="6">
        <f t="shared" si="4"/>
        <v>0</v>
      </c>
      <c r="D13" s="6">
        <f t="shared" si="4"/>
        <v>0</v>
      </c>
      <c r="E13" s="6">
        <f t="shared" si="4"/>
        <v>0</v>
      </c>
      <c r="F13" s="6">
        <f t="shared" si="4"/>
        <v>0</v>
      </c>
      <c r="G13" s="6">
        <f t="shared" si="4"/>
        <v>0</v>
      </c>
      <c r="H13" s="6">
        <f t="shared" si="4"/>
        <v>0</v>
      </c>
      <c r="I13" s="6">
        <f t="shared" si="4"/>
        <v>0</v>
      </c>
      <c r="J13" s="6">
        <f t="shared" si="4"/>
        <v>0</v>
      </c>
      <c r="K13" s="6">
        <f t="shared" si="4"/>
        <v>0</v>
      </c>
      <c r="L13" s="6">
        <f t="shared" si="4"/>
        <v>0</v>
      </c>
      <c r="M13" s="6">
        <f t="shared" si="4"/>
        <v>0</v>
      </c>
      <c r="N13" s="6">
        <f t="shared" si="4"/>
        <v>0</v>
      </c>
      <c r="O13" s="6">
        <f t="shared" si="4"/>
        <v>0</v>
      </c>
      <c r="P13" s="6">
        <f t="shared" si="4"/>
        <v>0</v>
      </c>
      <c r="Q13" s="6">
        <f t="shared" si="4"/>
        <v>0</v>
      </c>
      <c r="R13" s="6">
        <f t="shared" si="4"/>
        <v>0</v>
      </c>
      <c r="S13" s="6">
        <f t="shared" si="4"/>
        <v>0</v>
      </c>
      <c r="T13" s="6">
        <f t="shared" si="4"/>
        <v>0</v>
      </c>
      <c r="U13" s="6">
        <f t="shared" si="4"/>
        <v>0</v>
      </c>
      <c r="V13" s="6">
        <f t="shared" si="4"/>
        <v>0</v>
      </c>
      <c r="W13" s="6">
        <f t="shared" si="4"/>
        <v>0</v>
      </c>
      <c r="X13" s="6">
        <f t="shared" si="4"/>
        <v>0</v>
      </c>
      <c r="Y13" s="6">
        <f t="shared" si="4"/>
        <v>0</v>
      </c>
      <c r="Z13" s="6">
        <f t="shared" si="4"/>
        <v>0</v>
      </c>
      <c r="AA13" s="6">
        <f t="shared" si="4"/>
        <v>0</v>
      </c>
      <c r="AB13" s="6">
        <f t="shared" si="4"/>
        <v>0</v>
      </c>
      <c r="AC13" s="6">
        <f t="shared" si="4"/>
        <v>0</v>
      </c>
      <c r="AD13" s="6">
        <f t="shared" si="4"/>
        <v>0</v>
      </c>
      <c r="AE13" s="6">
        <f t="shared" si="4"/>
        <v>0</v>
      </c>
      <c r="AF13" s="6">
        <f t="shared" si="4"/>
        <v>0</v>
      </c>
      <c r="AG13" s="6">
        <f t="shared" si="4"/>
        <v>0</v>
      </c>
      <c r="AH13" s="6">
        <f t="shared" si="4"/>
        <v>0</v>
      </c>
      <c r="AI13" s="6">
        <f t="shared" si="4"/>
        <v>0</v>
      </c>
      <c r="AJ13" s="6">
        <f t="shared" si="4"/>
        <v>0</v>
      </c>
      <c r="AK13" s="6">
        <f t="shared" si="4"/>
        <v>0</v>
      </c>
    </row>
    <row r="14" spans="1:37">
      <c r="A14" s="24" t="s">
        <v>243</v>
      </c>
      <c r="B14" s="6">
        <f t="shared" ref="B14:AK14" si="5">B11-B13</f>
        <v>-4229550.8125</v>
      </c>
      <c r="C14" s="6">
        <f t="shared" si="5"/>
        <v>-2786852.3465625</v>
      </c>
      <c r="D14" s="6">
        <f t="shared" si="5"/>
        <v>-1299197.63849531</v>
      </c>
      <c r="E14" s="6">
        <f t="shared" si="5"/>
        <v>237752.452250462</v>
      </c>
      <c r="F14" s="6">
        <f t="shared" si="5"/>
        <v>1828604.11529303</v>
      </c>
      <c r="G14" s="6">
        <f t="shared" si="5"/>
        <v>3478251.64078328</v>
      </c>
      <c r="H14" s="6">
        <f t="shared" si="5"/>
        <v>5191900.00381353</v>
      </c>
      <c r="I14" s="6">
        <f t="shared" si="5"/>
        <v>6975089.10300622</v>
      </c>
      <c r="J14" s="6">
        <f t="shared" si="5"/>
        <v>8833719.78419487</v>
      </c>
      <c r="K14" s="6">
        <f t="shared" si="5"/>
        <v>10774081.7905919</v>
      </c>
      <c r="L14" s="6">
        <f t="shared" si="5"/>
        <v>12802883.792195</v>
      </c>
      <c r="M14" s="6">
        <f t="shared" si="5"/>
        <v>14927285.6594872</v>
      </c>
      <c r="N14" s="6">
        <f t="shared" si="5"/>
        <v>17154933.1598213</v>
      </c>
      <c r="O14" s="6">
        <f t="shared" si="5"/>
        <v>19493995.2693291</v>
      </c>
      <c r="P14" s="6">
        <f t="shared" si="5"/>
        <v>21953204.3088626</v>
      </c>
      <c r="Q14" s="6">
        <f t="shared" si="5"/>
        <v>24541899.1294571</v>
      </c>
      <c r="R14" s="6">
        <f t="shared" si="5"/>
        <v>27270071.59122</v>
      </c>
      <c r="S14" s="6">
        <f t="shared" si="5"/>
        <v>30148416.5995218</v>
      </c>
      <c r="T14" s="6">
        <f t="shared" si="5"/>
        <v>33188385.9840231</v>
      </c>
      <c r="U14" s="6">
        <f t="shared" si="5"/>
        <v>36402246.5295719</v>
      </c>
      <c r="V14" s="6">
        <f t="shared" si="5"/>
        <v>39803142.4934941</v>
      </c>
      <c r="W14" s="6">
        <f t="shared" si="5"/>
        <v>43405162.9714672</v>
      </c>
      <c r="X14" s="6">
        <f t="shared" si="5"/>
        <v>47223414.5041864</v>
      </c>
      <c r="Y14" s="6">
        <f t="shared" si="5"/>
        <v>51274099.3496186</v>
      </c>
      <c r="Z14" s="6">
        <f t="shared" si="5"/>
        <v>55574599.8810173</v>
      </c>
      <c r="AA14" s="6">
        <f t="shared" si="5"/>
        <v>60143569.6092805</v>
      </c>
      <c r="AB14" s="6">
        <f t="shared" si="5"/>
        <v>65001031.3699417</v>
      </c>
      <c r="AC14" s="6">
        <f t="shared" si="5"/>
        <v>70168483.2603856</v>
      </c>
      <c r="AD14" s="6">
        <f t="shared" si="5"/>
        <v>75669012.9620856</v>
      </c>
      <c r="AE14" s="6">
        <f t="shared" si="5"/>
        <v>81527421.1361149</v>
      </c>
      <c r="AF14" s="6">
        <f t="shared" si="5"/>
        <v>87770354.6382663</v>
      </c>
      <c r="AG14" s="6">
        <f t="shared" si="5"/>
        <v>94426450.3632352</v>
      </c>
      <c r="AH14" s="6">
        <f t="shared" si="5"/>
        <v>101526490.595916</v>
      </c>
      <c r="AI14" s="6">
        <f t="shared" si="5"/>
        <v>109103570.822433</v>
      </c>
      <c r="AJ14" s="6">
        <f t="shared" si="5"/>
        <v>117193281.034584</v>
      </c>
      <c r="AK14" s="6">
        <f t="shared" si="5"/>
        <v>125833901.649534</v>
      </c>
    </row>
    <row r="15" spans="1:37">
      <c r="A15" s="24" t="s">
        <v>244</v>
      </c>
      <c r="B15" s="6">
        <f>'01 Assumptions'!$E$49</f>
        <v>10000000</v>
      </c>
      <c r="C15" s="6">
        <f t="shared" ref="C15:AK15" si="6">B17</f>
        <v>5770449.1875</v>
      </c>
      <c r="D15" s="6">
        <f t="shared" si="6"/>
        <v>2983596.8409375</v>
      </c>
      <c r="E15" s="6">
        <f t="shared" si="6"/>
        <v>1684399.20244219</v>
      </c>
      <c r="F15" s="6">
        <f t="shared" si="6"/>
        <v>1922151.65469265</v>
      </c>
      <c r="G15" s="6">
        <f t="shared" si="6"/>
        <v>3750755.76998568</v>
      </c>
      <c r="H15" s="6">
        <f t="shared" si="6"/>
        <v>7229007.41076897</v>
      </c>
      <c r="I15" s="6">
        <f t="shared" si="6"/>
        <v>12420907.4145825</v>
      </c>
      <c r="J15" s="6">
        <f t="shared" si="6"/>
        <v>19395996.5175887</v>
      </c>
      <c r="K15" s="6">
        <f t="shared" si="6"/>
        <v>28229716.3017836</v>
      </c>
      <c r="L15" s="6">
        <f t="shared" si="6"/>
        <v>39003798.0923755</v>
      </c>
      <c r="M15" s="6">
        <f t="shared" si="6"/>
        <v>51806681.8845705</v>
      </c>
      <c r="N15" s="6">
        <f t="shared" si="6"/>
        <v>66733967.5440577</v>
      </c>
      <c r="O15" s="6">
        <f t="shared" si="6"/>
        <v>83888900.703879</v>
      </c>
      <c r="P15" s="6">
        <f t="shared" si="6"/>
        <v>103382895.973208</v>
      </c>
      <c r="Q15" s="6">
        <f t="shared" si="6"/>
        <v>125336100.282071</v>
      </c>
      <c r="R15" s="6">
        <f t="shared" si="6"/>
        <v>149877999.411528</v>
      </c>
      <c r="S15" s="6">
        <f t="shared" si="6"/>
        <v>177148071.002748</v>
      </c>
      <c r="T15" s="6">
        <f t="shared" si="6"/>
        <v>207296487.602269</v>
      </c>
      <c r="U15" s="6">
        <f t="shared" si="6"/>
        <v>240484873.586293</v>
      </c>
      <c r="V15" s="6">
        <f t="shared" si="6"/>
        <v>276887120.115865</v>
      </c>
      <c r="W15" s="6">
        <f t="shared" si="6"/>
        <v>316690262.609359</v>
      </c>
      <c r="X15" s="6">
        <f t="shared" si="6"/>
        <v>360095425.580826</v>
      </c>
      <c r="Y15" s="6">
        <f t="shared" si="6"/>
        <v>407318840.085012</v>
      </c>
      <c r="Z15" s="6">
        <f t="shared" si="6"/>
        <v>458592939.434631</v>
      </c>
      <c r="AA15" s="6">
        <f t="shared" si="6"/>
        <v>514167539.315648</v>
      </c>
      <c r="AB15" s="6">
        <f t="shared" si="6"/>
        <v>574311108.924929</v>
      </c>
      <c r="AC15" s="6">
        <f t="shared" si="6"/>
        <v>639312140.29487</v>
      </c>
      <c r="AD15" s="6">
        <f t="shared" si="6"/>
        <v>709480623.555256</v>
      </c>
      <c r="AE15" s="6">
        <f t="shared" si="6"/>
        <v>785149636.517341</v>
      </c>
      <c r="AF15" s="6">
        <f t="shared" si="6"/>
        <v>866677057.653456</v>
      </c>
      <c r="AG15" s="6">
        <f t="shared" si="6"/>
        <v>954447412.291723</v>
      </c>
      <c r="AH15" s="6">
        <f t="shared" si="6"/>
        <v>1048873862.65496</v>
      </c>
      <c r="AI15" s="6">
        <f t="shared" si="6"/>
        <v>1150400353.25087</v>
      </c>
      <c r="AJ15" s="6">
        <f t="shared" si="6"/>
        <v>1259503924.07331</v>
      </c>
      <c r="AK15" s="6">
        <f t="shared" si="6"/>
        <v>1376697205.10789</v>
      </c>
    </row>
    <row r="16" spans="1:37">
      <c r="A16" s="24" t="s">
        <v>245</v>
      </c>
      <c r="B16" s="6">
        <f t="shared" ref="B16:AK16" si="7">B14</f>
        <v>-4229550.8125</v>
      </c>
      <c r="C16" s="6">
        <f t="shared" si="7"/>
        <v>-2786852.3465625</v>
      </c>
      <c r="D16" s="6">
        <f t="shared" si="7"/>
        <v>-1299197.63849531</v>
      </c>
      <c r="E16" s="6">
        <f t="shared" si="7"/>
        <v>237752.452250462</v>
      </c>
      <c r="F16" s="6">
        <f t="shared" si="7"/>
        <v>1828604.11529303</v>
      </c>
      <c r="G16" s="6">
        <f t="shared" si="7"/>
        <v>3478251.64078328</v>
      </c>
      <c r="H16" s="6">
        <f t="shared" si="7"/>
        <v>5191900.00381353</v>
      </c>
      <c r="I16" s="6">
        <f t="shared" si="7"/>
        <v>6975089.10300622</v>
      </c>
      <c r="J16" s="6">
        <f t="shared" si="7"/>
        <v>8833719.78419487</v>
      </c>
      <c r="K16" s="6">
        <f t="shared" si="7"/>
        <v>10774081.7905919</v>
      </c>
      <c r="L16" s="6">
        <f t="shared" si="7"/>
        <v>12802883.792195</v>
      </c>
      <c r="M16" s="6">
        <f t="shared" si="7"/>
        <v>14927285.6594872</v>
      </c>
      <c r="N16" s="6">
        <f t="shared" si="7"/>
        <v>17154933.1598213</v>
      </c>
      <c r="O16" s="6">
        <f t="shared" si="7"/>
        <v>19493995.2693291</v>
      </c>
      <c r="P16" s="6">
        <f t="shared" si="7"/>
        <v>21953204.3088626</v>
      </c>
      <c r="Q16" s="6">
        <f t="shared" si="7"/>
        <v>24541899.1294571</v>
      </c>
      <c r="R16" s="6">
        <f t="shared" si="7"/>
        <v>27270071.59122</v>
      </c>
      <c r="S16" s="6">
        <f t="shared" si="7"/>
        <v>30148416.5995218</v>
      </c>
      <c r="T16" s="6">
        <f t="shared" si="7"/>
        <v>33188385.9840231</v>
      </c>
      <c r="U16" s="6">
        <f t="shared" si="7"/>
        <v>36402246.5295719</v>
      </c>
      <c r="V16" s="6">
        <f t="shared" si="7"/>
        <v>39803142.4934941</v>
      </c>
      <c r="W16" s="6">
        <f t="shared" si="7"/>
        <v>43405162.9714672</v>
      </c>
      <c r="X16" s="6">
        <f t="shared" si="7"/>
        <v>47223414.5041864</v>
      </c>
      <c r="Y16" s="6">
        <f t="shared" si="7"/>
        <v>51274099.3496186</v>
      </c>
      <c r="Z16" s="6">
        <f t="shared" si="7"/>
        <v>55574599.8810173</v>
      </c>
      <c r="AA16" s="6">
        <f t="shared" si="7"/>
        <v>60143569.6092805</v>
      </c>
      <c r="AB16" s="6">
        <f t="shared" si="7"/>
        <v>65001031.3699417</v>
      </c>
      <c r="AC16" s="6">
        <f t="shared" si="7"/>
        <v>70168483.2603856</v>
      </c>
      <c r="AD16" s="6">
        <f t="shared" si="7"/>
        <v>75669012.9620856</v>
      </c>
      <c r="AE16" s="6">
        <f t="shared" si="7"/>
        <v>81527421.1361149</v>
      </c>
      <c r="AF16" s="6">
        <f t="shared" si="7"/>
        <v>87770354.6382663</v>
      </c>
      <c r="AG16" s="6">
        <f t="shared" si="7"/>
        <v>94426450.3632352</v>
      </c>
      <c r="AH16" s="6">
        <f t="shared" si="7"/>
        <v>101526490.595916</v>
      </c>
      <c r="AI16" s="6">
        <f t="shared" si="7"/>
        <v>109103570.822433</v>
      </c>
      <c r="AJ16" s="6">
        <f t="shared" si="7"/>
        <v>117193281.034584</v>
      </c>
      <c r="AK16" s="6">
        <f t="shared" si="7"/>
        <v>125833901.649534</v>
      </c>
    </row>
    <row r="17" spans="1:37">
      <c r="A17" s="32" t="s">
        <v>246</v>
      </c>
      <c r="B17" s="33">
        <f t="shared" ref="B17:AK17" si="8">B15+B16</f>
        <v>5770449.1875</v>
      </c>
      <c r="C17" s="33">
        <f t="shared" si="8"/>
        <v>2983596.8409375</v>
      </c>
      <c r="D17" s="33">
        <f t="shared" si="8"/>
        <v>1684399.20244219</v>
      </c>
      <c r="E17" s="33">
        <f t="shared" si="8"/>
        <v>1922151.65469265</v>
      </c>
      <c r="F17" s="33">
        <f t="shared" si="8"/>
        <v>3750755.76998568</v>
      </c>
      <c r="G17" s="33">
        <f t="shared" si="8"/>
        <v>7229007.41076897</v>
      </c>
      <c r="H17" s="33">
        <f t="shared" si="8"/>
        <v>12420907.4145825</v>
      </c>
      <c r="I17" s="33">
        <f t="shared" si="8"/>
        <v>19395996.5175887</v>
      </c>
      <c r="J17" s="33">
        <f t="shared" si="8"/>
        <v>28229716.3017836</v>
      </c>
      <c r="K17" s="33">
        <f t="shared" si="8"/>
        <v>39003798.0923755</v>
      </c>
      <c r="L17" s="33">
        <f t="shared" si="8"/>
        <v>51806681.8845705</v>
      </c>
      <c r="M17" s="33">
        <f t="shared" si="8"/>
        <v>66733967.5440577</v>
      </c>
      <c r="N17" s="33">
        <f t="shared" si="8"/>
        <v>83888900.703879</v>
      </c>
      <c r="O17" s="33">
        <f t="shared" si="8"/>
        <v>103382895.973208</v>
      </c>
      <c r="P17" s="33">
        <f t="shared" si="8"/>
        <v>125336100.282071</v>
      </c>
      <c r="Q17" s="33">
        <f t="shared" si="8"/>
        <v>149877999.411528</v>
      </c>
      <c r="R17" s="33">
        <f t="shared" si="8"/>
        <v>177148071.002748</v>
      </c>
      <c r="S17" s="33">
        <f t="shared" si="8"/>
        <v>207296487.602269</v>
      </c>
      <c r="T17" s="33">
        <f t="shared" si="8"/>
        <v>240484873.586293</v>
      </c>
      <c r="U17" s="33">
        <f t="shared" si="8"/>
        <v>276887120.115865</v>
      </c>
      <c r="V17" s="33">
        <f t="shared" si="8"/>
        <v>316690262.609359</v>
      </c>
      <c r="W17" s="33">
        <f t="shared" si="8"/>
        <v>360095425.580826</v>
      </c>
      <c r="X17" s="33">
        <f t="shared" si="8"/>
        <v>407318840.085012</v>
      </c>
      <c r="Y17" s="33">
        <f t="shared" si="8"/>
        <v>458592939.434631</v>
      </c>
      <c r="Z17" s="33">
        <f t="shared" si="8"/>
        <v>514167539.315648</v>
      </c>
      <c r="AA17" s="33">
        <f t="shared" si="8"/>
        <v>574311108.924929</v>
      </c>
      <c r="AB17" s="33">
        <f t="shared" si="8"/>
        <v>639312140.29487</v>
      </c>
      <c r="AC17" s="33">
        <f t="shared" si="8"/>
        <v>709480623.555256</v>
      </c>
      <c r="AD17" s="33">
        <f t="shared" si="8"/>
        <v>785149636.517341</v>
      </c>
      <c r="AE17" s="33">
        <f t="shared" si="8"/>
        <v>866677057.653456</v>
      </c>
      <c r="AF17" s="33">
        <f t="shared" si="8"/>
        <v>954447412.291723</v>
      </c>
      <c r="AG17" s="33">
        <f t="shared" si="8"/>
        <v>1048873862.65496</v>
      </c>
      <c r="AH17" s="33">
        <f t="shared" si="8"/>
        <v>1150400353.25087</v>
      </c>
      <c r="AI17" s="33">
        <f t="shared" si="8"/>
        <v>1259503924.07331</v>
      </c>
      <c r="AJ17" s="33">
        <f t="shared" si="8"/>
        <v>1376697205.10789</v>
      </c>
      <c r="AK17" s="33">
        <f t="shared" si="8"/>
        <v>1502531106.75742</v>
      </c>
    </row>
    <row r="18" spans="1:37">
      <c r="A18" s="24" t="s">
        <v>247</v>
      </c>
      <c r="B18" s="6">
        <f>SUM($B$11:B11)</f>
        <v>-4229550.8125</v>
      </c>
      <c r="C18" s="6">
        <f>SUM($B$11:C11)</f>
        <v>-7016403.1590625</v>
      </c>
      <c r="D18" s="6">
        <f>SUM($B$11:D11)</f>
        <v>-8315600.79755781</v>
      </c>
      <c r="E18" s="6">
        <f>SUM($B$11:E11)</f>
        <v>-8077848.34530735</v>
      </c>
      <c r="F18" s="6">
        <f>SUM($B$11:F11)</f>
        <v>-6249244.23001432</v>
      </c>
      <c r="G18" s="6">
        <f>SUM($B$11:G11)</f>
        <v>-2770992.58923103</v>
      </c>
      <c r="H18" s="6">
        <f>SUM($B$11:H11)</f>
        <v>2420907.41458249</v>
      </c>
      <c r="I18" s="6">
        <f>SUM($B$11:I11)</f>
        <v>9395996.51758872</v>
      </c>
      <c r="J18" s="6">
        <f>SUM($B$11:J11)</f>
        <v>18229716.3017836</v>
      </c>
      <c r="K18" s="6">
        <f>SUM($B$11:K11)</f>
        <v>29003798.0923755</v>
      </c>
      <c r="L18" s="6">
        <f>SUM($B$11:L11)</f>
        <v>41806681.8845705</v>
      </c>
      <c r="M18" s="6">
        <f>SUM($B$11:M11)</f>
        <v>56733967.5440577</v>
      </c>
      <c r="N18" s="6">
        <f>SUM($B$11:N11)</f>
        <v>73888900.703879</v>
      </c>
      <c r="O18" s="6">
        <f>SUM($B$11:O11)</f>
        <v>93382895.9732081</v>
      </c>
      <c r="P18" s="6">
        <f>SUM($B$11:P11)</f>
        <v>115336100.282071</v>
      </c>
      <c r="Q18" s="6">
        <f>SUM($B$11:Q11)</f>
        <v>139877999.411528</v>
      </c>
      <c r="R18" s="6">
        <f>SUM($B$11:R11)</f>
        <v>167148071.002748</v>
      </c>
      <c r="S18" s="6">
        <f>SUM($B$11:S11)</f>
        <v>197296487.602269</v>
      </c>
      <c r="T18" s="6">
        <f>SUM($B$11:T11)</f>
        <v>230484873.586293</v>
      </c>
      <c r="U18" s="6">
        <f>SUM($B$11:U11)</f>
        <v>266887120.115865</v>
      </c>
      <c r="V18" s="6">
        <f>SUM($B$11:V11)</f>
        <v>306690262.609359</v>
      </c>
      <c r="W18" s="6">
        <f>SUM($B$11:W11)</f>
        <v>350095425.580826</v>
      </c>
      <c r="X18" s="6">
        <f>SUM($B$11:X11)</f>
        <v>397318840.085012</v>
      </c>
      <c r="Y18" s="6">
        <f>SUM($B$11:Y11)</f>
        <v>448592939.434631</v>
      </c>
      <c r="Z18" s="6">
        <f>SUM($B$11:Z11)</f>
        <v>504167539.315648</v>
      </c>
      <c r="AA18" s="6">
        <f>SUM($B$11:AA11)</f>
        <v>564311108.924929</v>
      </c>
      <c r="AB18" s="6">
        <f>SUM($B$11:AB11)</f>
        <v>629312140.29487</v>
      </c>
      <c r="AC18" s="6">
        <f>SUM($B$11:AC11)</f>
        <v>699480623.555256</v>
      </c>
      <c r="AD18" s="6">
        <f>SUM($B$11:AD11)</f>
        <v>775149636.517341</v>
      </c>
      <c r="AE18" s="6">
        <f>SUM($B$11:AE11)</f>
        <v>856677057.653456</v>
      </c>
      <c r="AF18" s="6">
        <f>SUM($B$11:AF11)</f>
        <v>944447412.291723</v>
      </c>
      <c r="AG18" s="6">
        <f>SUM($B$11:AG11)</f>
        <v>1038873862.65496</v>
      </c>
      <c r="AH18" s="6">
        <f>SUM($B$11:AH11)</f>
        <v>1140400353.25087</v>
      </c>
      <c r="AI18" s="6">
        <f>SUM($B$11:AI11)</f>
        <v>1249503924.07331</v>
      </c>
      <c r="AJ18" s="6">
        <f>SUM($B$11:AJ11)</f>
        <v>1366697205.10789</v>
      </c>
      <c r="AK18" s="6">
        <f>SUM($B$11:AK11)</f>
        <v>1492531106.75742</v>
      </c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2">
    <mergeCell ref="A1:AK1"/>
    <mergeCell ref="A2:AK2"/>
  </mergeCells>
  <conditionalFormatting sqref="B11:AK11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5" sqref="B5"/>
    </sheetView>
  </sheetViews>
  <sheetFormatPr defaultColWidth="9" defaultRowHeight="14" outlineLevelCol="6"/>
  <cols>
    <col min="1" max="1" width="28" customWidth="1"/>
    <col min="2" max="2" width="18" customWidth="1"/>
    <col min="3" max="3" width="15" customWidth="1"/>
    <col min="4" max="5" width="18" customWidth="1"/>
    <col min="6" max="6" width="16" customWidth="1"/>
    <col min="7" max="7" width="48" customWidth="1"/>
  </cols>
  <sheetData>
    <row r="1" ht="30" customHeight="1" spans="1:7">
      <c r="A1" s="1" t="s">
        <v>248</v>
      </c>
    </row>
    <row r="2" ht="30" customHeight="1" spans="1:7">
      <c r="A2" s="2" t="s">
        <v>249</v>
      </c>
    </row>
    <row r="4" spans="1:7">
      <c r="A4" s="3" t="s">
        <v>250</v>
      </c>
      <c r="B4" s="3" t="s">
        <v>251</v>
      </c>
      <c r="C4" s="3" t="s">
        <v>252</v>
      </c>
      <c r="D4" s="3" t="s">
        <v>253</v>
      </c>
      <c r="E4" s="3" t="s">
        <v>237</v>
      </c>
      <c r="F4" s="3" t="s">
        <v>238</v>
      </c>
      <c r="G4" s="3" t="s">
        <v>254</v>
      </c>
    </row>
    <row r="5" spans="1:7">
      <c r="A5" t="s">
        <v>255</v>
      </c>
      <c r="B5" s="10">
        <f>SUM('03 Revenue Forecast'!B6:AK6)</f>
        <v>1213391818.25881</v>
      </c>
      <c r="C5" s="25">
        <f>'01 Assumptions'!$E$39</f>
        <v>0.15</v>
      </c>
      <c r="D5" s="10">
        <f t="shared" ref="D5:D12" si="0">B5*C5</f>
        <v>182008772.738822</v>
      </c>
      <c r="E5" s="10">
        <f t="shared" ref="E5:E12" si="1">B5-D5</f>
        <v>1031383045.51999</v>
      </c>
      <c r="F5" s="25">
        <f t="shared" ref="F5:F13" si="2">IFERROR(E5/B5,0)</f>
        <v>0.85</v>
      </c>
      <c r="G5" t="s">
        <v>256</v>
      </c>
    </row>
    <row r="6" spans="1:7">
      <c r="A6" t="s">
        <v>257</v>
      </c>
      <c r="B6" s="10">
        <f>SUM('03 Revenue Forecast'!B7:AK7)</f>
        <v>108338555.20168</v>
      </c>
      <c r="C6" s="25">
        <f>'01 Assumptions'!$E$39</f>
        <v>0.15</v>
      </c>
      <c r="D6" s="10">
        <f t="shared" si="0"/>
        <v>16250783.280252</v>
      </c>
      <c r="E6" s="10">
        <f t="shared" si="1"/>
        <v>92087771.9214279</v>
      </c>
      <c r="F6" s="25">
        <f t="shared" si="2"/>
        <v>0.85</v>
      </c>
      <c r="G6" t="s">
        <v>258</v>
      </c>
    </row>
    <row r="7" spans="1:7">
      <c r="A7" t="s">
        <v>259</v>
      </c>
      <c r="B7" s="10">
        <f>SUM('03 Revenue Forecast'!B9:AK9)</f>
        <v>297517150.436559</v>
      </c>
      <c r="C7" s="25">
        <f>'01 Assumptions'!$E$40</f>
        <v>0.32</v>
      </c>
      <c r="D7" s="10">
        <f t="shared" si="0"/>
        <v>95205488.139699</v>
      </c>
      <c r="E7" s="10">
        <f t="shared" si="1"/>
        <v>202311662.29686</v>
      </c>
      <c r="F7" s="25">
        <f t="shared" si="2"/>
        <v>0.68</v>
      </c>
      <c r="G7" t="s">
        <v>260</v>
      </c>
    </row>
    <row r="8" spans="1:7">
      <c r="A8" t="s">
        <v>261</v>
      </c>
      <c r="B8" s="10">
        <f>SUM('03 Revenue Forecast'!B11:AK11)</f>
        <v>59825361.0657414</v>
      </c>
      <c r="C8" s="25">
        <f>'01 Assumptions'!$E$41</f>
        <v>0.18</v>
      </c>
      <c r="D8" s="10">
        <f t="shared" si="0"/>
        <v>10768564.9918335</v>
      </c>
      <c r="E8" s="10">
        <f t="shared" si="1"/>
        <v>49056796.073908</v>
      </c>
      <c r="F8" s="25">
        <f t="shared" si="2"/>
        <v>0.82</v>
      </c>
      <c r="G8" t="s">
        <v>262</v>
      </c>
    </row>
    <row r="9" spans="1:7">
      <c r="A9" t="s">
        <v>263</v>
      </c>
      <c r="B9" s="10">
        <f>SUM('03 Revenue Forecast'!B13:AK13)</f>
        <v>5613064.43919982</v>
      </c>
      <c r="C9" s="25">
        <f>'01 Assumptions'!$E$42</f>
        <v>0.06</v>
      </c>
      <c r="D9" s="10">
        <f t="shared" si="0"/>
        <v>336783.86635199</v>
      </c>
      <c r="E9" s="10">
        <f t="shared" si="1"/>
        <v>5276280.57284784</v>
      </c>
      <c r="F9" s="25">
        <f t="shared" si="2"/>
        <v>0.94</v>
      </c>
      <c r="G9" t="s">
        <v>264</v>
      </c>
    </row>
    <row r="10" spans="1:7">
      <c r="A10" t="s">
        <v>265</v>
      </c>
      <c r="B10" s="10">
        <f>SUM('03 Revenue Forecast'!B14:AK14)</f>
        <v>174150000</v>
      </c>
      <c r="C10" s="25">
        <f>'01 Assumptions'!$E$43</f>
        <v>0.22</v>
      </c>
      <c r="D10" s="10">
        <f t="shared" si="0"/>
        <v>38313000</v>
      </c>
      <c r="E10" s="10">
        <f t="shared" si="1"/>
        <v>135837000</v>
      </c>
      <c r="F10" s="25">
        <f t="shared" si="2"/>
        <v>0.78</v>
      </c>
      <c r="G10" t="s">
        <v>266</v>
      </c>
    </row>
    <row r="11" spans="1:7">
      <c r="A11" t="s">
        <v>267</v>
      </c>
      <c r="B11" s="10">
        <f>SUM('03 Revenue Forecast'!B15:AK15)</f>
        <v>46170000</v>
      </c>
      <c r="C11" s="25">
        <f>'01 Assumptions'!$E$44</f>
        <v>0.38</v>
      </c>
      <c r="D11" s="10">
        <f t="shared" si="0"/>
        <v>17544600</v>
      </c>
      <c r="E11" s="10">
        <f t="shared" si="1"/>
        <v>28625400</v>
      </c>
      <c r="F11" s="25">
        <f t="shared" si="2"/>
        <v>0.62</v>
      </c>
      <c r="G11" t="s">
        <v>268</v>
      </c>
    </row>
    <row r="12" spans="1:7">
      <c r="A12" t="s">
        <v>216</v>
      </c>
      <c r="B12" s="10">
        <f>SUM('03 Revenue Forecast'!B16:AK16)</f>
        <v>190500594.940199</v>
      </c>
      <c r="C12" s="25">
        <f>'01 Assumptions'!$E$32</f>
        <v>0.15</v>
      </c>
      <c r="D12" s="10">
        <f t="shared" si="0"/>
        <v>28575089.2410299</v>
      </c>
      <c r="E12" s="10">
        <f t="shared" si="1"/>
        <v>161925505.69917</v>
      </c>
      <c r="F12" s="25">
        <f t="shared" si="2"/>
        <v>0.85</v>
      </c>
      <c r="G12" t="s">
        <v>269</v>
      </c>
    </row>
    <row r="13" spans="1:7">
      <c r="A13" s="15" t="s">
        <v>270</v>
      </c>
      <c r="B13" s="18">
        <f>SUM(B5:B12)</f>
        <v>2095506544.34219</v>
      </c>
      <c r="C13" s="20"/>
      <c r="D13" s="18">
        <f>SUM(D5:D12)</f>
        <v>389003082.257988</v>
      </c>
      <c r="E13" s="18">
        <f>SUM(E5:E12)</f>
        <v>1706503462.08421</v>
      </c>
      <c r="F13" s="20">
        <f t="shared" si="2"/>
        <v>0.814363222435031</v>
      </c>
      <c r="G13" s="15" t="s">
        <v>271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workbookViewId="0">
      <selection activeCell="A1" sqref="A1:AK1"/>
    </sheetView>
  </sheetViews>
  <sheetFormatPr defaultColWidth="9" defaultRowHeight="14"/>
  <cols>
    <col min="1" max="1" width="34" customWidth="1"/>
    <col min="2" max="37" width="13" customWidth="1"/>
  </cols>
  <sheetData>
    <row r="1" ht="30" customHeight="1" spans="1:37">
      <c r="A1" s="1" t="s">
        <v>272</v>
      </c>
    </row>
    <row r="2" ht="30" customHeight="1" spans="1:37">
      <c r="A2" s="2" t="s">
        <v>273</v>
      </c>
    </row>
    <row r="5" spans="1:37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166</v>
      </c>
      <c r="P5" s="3" t="s">
        <v>167</v>
      </c>
      <c r="Q5" s="3" t="s">
        <v>168</v>
      </c>
      <c r="R5" s="3" t="s">
        <v>169</v>
      </c>
      <c r="S5" s="3" t="s">
        <v>170</v>
      </c>
      <c r="T5" s="3" t="s">
        <v>171</v>
      </c>
      <c r="U5" s="3" t="s">
        <v>172</v>
      </c>
      <c r="V5" s="3" t="s">
        <v>173</v>
      </c>
      <c r="W5" s="3" t="s">
        <v>174</v>
      </c>
      <c r="X5" s="3" t="s">
        <v>175</v>
      </c>
      <c r="Y5" s="3" t="s">
        <v>176</v>
      </c>
      <c r="Z5" s="3" t="s">
        <v>177</v>
      </c>
      <c r="AA5" s="3" t="s">
        <v>178</v>
      </c>
      <c r="AB5" s="3" t="s">
        <v>179</v>
      </c>
      <c r="AC5" s="3" t="s">
        <v>180</v>
      </c>
      <c r="AD5" s="3" t="s">
        <v>181</v>
      </c>
      <c r="AE5" s="3" t="s">
        <v>182</v>
      </c>
      <c r="AF5" s="3" t="s">
        <v>183</v>
      </c>
      <c r="AG5" s="3" t="s">
        <v>184</v>
      </c>
      <c r="AH5" s="3" t="s">
        <v>185</v>
      </c>
      <c r="AI5" s="3" t="s">
        <v>186</v>
      </c>
      <c r="AJ5" s="3" t="s">
        <v>187</v>
      </c>
      <c r="AK5" s="3" t="s">
        <v>188</v>
      </c>
    </row>
    <row r="6" spans="1:37">
      <c r="A6" s="24" t="s">
        <v>197</v>
      </c>
      <c r="B6" s="5">
        <f>'02 User Forecast'!B14</f>
        <v>350</v>
      </c>
      <c r="C6" s="5">
        <f>'02 User Forecast'!C14</f>
        <v>372.75</v>
      </c>
      <c r="D6" s="5">
        <f>'02 User Forecast'!D14</f>
        <v>396.97875</v>
      </c>
      <c r="E6" s="5">
        <f>'02 User Forecast'!E14</f>
        <v>422.78236875</v>
      </c>
      <c r="F6" s="5">
        <f>'02 User Forecast'!F14</f>
        <v>450.26322271875</v>
      </c>
      <c r="G6" s="5">
        <f>'02 User Forecast'!G14</f>
        <v>479.530332195469</v>
      </c>
      <c r="H6" s="5">
        <f>'02 User Forecast'!H14</f>
        <v>510.699803788174</v>
      </c>
      <c r="I6" s="5">
        <f>'02 User Forecast'!I14</f>
        <v>543.895291034406</v>
      </c>
      <c r="J6" s="5">
        <f>'02 User Forecast'!J14</f>
        <v>579.248484951642</v>
      </c>
      <c r="K6" s="5">
        <f>'02 User Forecast'!K14</f>
        <v>616.899636473499</v>
      </c>
      <c r="L6" s="5">
        <f>'02 User Forecast'!L14</f>
        <v>656.998112844276</v>
      </c>
      <c r="M6" s="5">
        <f>'02 User Forecast'!M14</f>
        <v>699.702990179154</v>
      </c>
      <c r="N6" s="5">
        <f>'02 User Forecast'!N14</f>
        <v>745.183684540799</v>
      </c>
      <c r="O6" s="5">
        <f>'02 User Forecast'!O14</f>
        <v>793.620624035951</v>
      </c>
      <c r="P6" s="5">
        <f>'02 User Forecast'!P14</f>
        <v>845.205964598288</v>
      </c>
      <c r="Q6" s="5">
        <f>'02 User Forecast'!Q14</f>
        <v>900.144352297176</v>
      </c>
      <c r="R6" s="5">
        <f>'02 User Forecast'!R14</f>
        <v>958.653735196493</v>
      </c>
      <c r="S6" s="5">
        <f>'02 User Forecast'!S14</f>
        <v>1020.96622798426</v>
      </c>
      <c r="T6" s="5">
        <f>'02 User Forecast'!T14</f>
        <v>1087.32903280324</v>
      </c>
      <c r="U6" s="5">
        <f>'02 User Forecast'!U14</f>
        <v>1158.00541993545</v>
      </c>
      <c r="V6" s="5">
        <f>'02 User Forecast'!V14</f>
        <v>1233.27577223126</v>
      </c>
      <c r="W6" s="5">
        <f>'02 User Forecast'!W14</f>
        <v>1313.43869742629</v>
      </c>
      <c r="X6" s="5">
        <f>'02 User Forecast'!X14</f>
        <v>1398.812212759</v>
      </c>
      <c r="Y6" s="5">
        <f>'02 User Forecast'!Y14</f>
        <v>1489.73500658833</v>
      </c>
      <c r="Z6" s="5">
        <f>'02 User Forecast'!Z14</f>
        <v>1586.56778201657</v>
      </c>
      <c r="AA6" s="5">
        <f>'02 User Forecast'!AA14</f>
        <v>1689.69468784765</v>
      </c>
      <c r="AB6" s="5">
        <f>'02 User Forecast'!AB14</f>
        <v>1799.52484255775</v>
      </c>
      <c r="AC6" s="5">
        <f>'02 User Forecast'!AC14</f>
        <v>1916.493957324</v>
      </c>
      <c r="AD6" s="5">
        <f>'02 User Forecast'!AD14</f>
        <v>2041.06606455006</v>
      </c>
      <c r="AE6" s="5">
        <f>'02 User Forecast'!AE14</f>
        <v>2173.73535874582</v>
      </c>
      <c r="AF6" s="5">
        <f>'02 User Forecast'!AF14</f>
        <v>2315.02815706429</v>
      </c>
      <c r="AG6" s="5">
        <f>'02 User Forecast'!AG14</f>
        <v>2465.50498727347</v>
      </c>
      <c r="AH6" s="5">
        <f>'02 User Forecast'!AH14</f>
        <v>2625.76281144625</v>
      </c>
      <c r="AI6" s="5">
        <f>'02 User Forecast'!AI14</f>
        <v>2796.43739419026</v>
      </c>
      <c r="AJ6" s="5">
        <f>'02 User Forecast'!AJ14</f>
        <v>2978.20582481262</v>
      </c>
      <c r="AK6" s="5">
        <f>'02 User Forecast'!AK14</f>
        <v>3171.78920342544</v>
      </c>
    </row>
    <row r="7" spans="1:37">
      <c r="A7" s="24" t="s">
        <v>274</v>
      </c>
      <c r="B7" s="6">
        <f>'04 Cost Forecast'!B14</f>
        <v>1675000</v>
      </c>
      <c r="C7" s="6">
        <f>'04 Cost Forecast'!C14</f>
        <v>1686375</v>
      </c>
      <c r="D7" s="6">
        <f>'04 Cost Forecast'!D14</f>
        <v>1698489.375</v>
      </c>
      <c r="E7" s="6">
        <f>'04 Cost Forecast'!E14</f>
        <v>1711391.184375</v>
      </c>
      <c r="F7" s="6">
        <f>'04 Cost Forecast'!F14</f>
        <v>1725131.61135938</v>
      </c>
      <c r="G7" s="6">
        <f>'04 Cost Forecast'!G14</f>
        <v>1739765.16609773</v>
      </c>
      <c r="H7" s="6">
        <f>'04 Cost Forecast'!H14</f>
        <v>1755349.90189409</v>
      </c>
      <c r="I7" s="6">
        <f>'04 Cost Forecast'!I14</f>
        <v>1771947.6455172</v>
      </c>
      <c r="J7" s="6">
        <f>'04 Cost Forecast'!J14</f>
        <v>1789624.24247582</v>
      </c>
      <c r="K7" s="6">
        <f>'04 Cost Forecast'!K14</f>
        <v>1808449.81823675</v>
      </c>
      <c r="L7" s="6">
        <f>'04 Cost Forecast'!L14</f>
        <v>1828499.05642214</v>
      </c>
      <c r="M7" s="6">
        <f>'04 Cost Forecast'!M14</f>
        <v>1849851.49508958</v>
      </c>
      <c r="N7" s="6">
        <f>'04 Cost Forecast'!N14</f>
        <v>1872591.8422704</v>
      </c>
      <c r="O7" s="6">
        <f>'04 Cost Forecast'!O14</f>
        <v>1896810.31201798</v>
      </c>
      <c r="P7" s="6">
        <f>'04 Cost Forecast'!P14</f>
        <v>1922602.98229914</v>
      </c>
      <c r="Q7" s="6">
        <f>'04 Cost Forecast'!Q14</f>
        <v>1950072.17614859</v>
      </c>
      <c r="R7" s="6">
        <f>'04 Cost Forecast'!R14</f>
        <v>1979326.86759825</v>
      </c>
      <c r="S7" s="6">
        <f>'04 Cost Forecast'!S14</f>
        <v>2010483.11399213</v>
      </c>
      <c r="T7" s="6">
        <f>'04 Cost Forecast'!T14</f>
        <v>2043664.51640162</v>
      </c>
      <c r="U7" s="6">
        <f>'04 Cost Forecast'!U14</f>
        <v>2079002.70996773</v>
      </c>
      <c r="V7" s="6">
        <f>'04 Cost Forecast'!V14</f>
        <v>2116637.88611563</v>
      </c>
      <c r="W7" s="6">
        <f>'04 Cost Forecast'!W14</f>
        <v>2156719.34871314</v>
      </c>
      <c r="X7" s="6">
        <f>'04 Cost Forecast'!X14</f>
        <v>2199406.1063795</v>
      </c>
      <c r="Y7" s="6">
        <f>'04 Cost Forecast'!Y14</f>
        <v>2244867.50329417</v>
      </c>
      <c r="Z7" s="6">
        <f>'04 Cost Forecast'!Z14</f>
        <v>2293283.89100829</v>
      </c>
      <c r="AA7" s="6">
        <f>'04 Cost Forecast'!AA14</f>
        <v>2344847.34392383</v>
      </c>
      <c r="AB7" s="6">
        <f>'04 Cost Forecast'!AB14</f>
        <v>2399762.42127887</v>
      </c>
      <c r="AC7" s="6">
        <f>'04 Cost Forecast'!AC14</f>
        <v>2458246.978662</v>
      </c>
      <c r="AD7" s="6">
        <f>'04 Cost Forecast'!AD14</f>
        <v>2520533.03227503</v>
      </c>
      <c r="AE7" s="6">
        <f>'04 Cost Forecast'!AE14</f>
        <v>2586867.67937291</v>
      </c>
      <c r="AF7" s="6">
        <f>'04 Cost Forecast'!AF14</f>
        <v>2657514.07853215</v>
      </c>
      <c r="AG7" s="6">
        <f>'04 Cost Forecast'!AG14</f>
        <v>2732752.49363674</v>
      </c>
      <c r="AH7" s="6">
        <f>'04 Cost Forecast'!AH14</f>
        <v>2812881.40572312</v>
      </c>
      <c r="AI7" s="6">
        <f>'04 Cost Forecast'!AI14</f>
        <v>2898218.69709513</v>
      </c>
      <c r="AJ7" s="6">
        <f>'04 Cost Forecast'!AJ14</f>
        <v>2989102.91240631</v>
      </c>
      <c r="AK7" s="6">
        <f>'04 Cost Forecast'!AK14</f>
        <v>3085894.60171272</v>
      </c>
    </row>
    <row r="8" spans="1:37">
      <c r="A8" s="24" t="s">
        <v>275</v>
      </c>
      <c r="B8" s="6">
        <f t="shared" ref="B8:AK8" si="0">IFERROR(B7/B6,0)</f>
        <v>4785.71428571429</v>
      </c>
      <c r="C8" s="6">
        <f t="shared" si="0"/>
        <v>4524.14486921529</v>
      </c>
      <c r="D8" s="6">
        <f t="shared" si="0"/>
        <v>4278.53978330074</v>
      </c>
      <c r="E8" s="6">
        <f t="shared" si="0"/>
        <v>4047.92467915563</v>
      </c>
      <c r="F8" s="6">
        <f t="shared" si="0"/>
        <v>3831.3846752635</v>
      </c>
      <c r="G8" s="6">
        <f t="shared" si="0"/>
        <v>3628.06072794695</v>
      </c>
      <c r="H8" s="6">
        <f t="shared" si="0"/>
        <v>3437.14622342436</v>
      </c>
      <c r="I8" s="6">
        <f t="shared" si="0"/>
        <v>3257.88377786325</v>
      </c>
      <c r="J8" s="6">
        <f t="shared" si="0"/>
        <v>3089.56223273545</v>
      </c>
      <c r="K8" s="6">
        <f t="shared" si="0"/>
        <v>2931.51383355441</v>
      </c>
      <c r="L8" s="6">
        <f t="shared" si="0"/>
        <v>2783.11158080227</v>
      </c>
      <c r="M8" s="6">
        <f t="shared" si="0"/>
        <v>2643.76674253734</v>
      </c>
      <c r="N8" s="6">
        <f t="shared" si="0"/>
        <v>2512.9265188144</v>
      </c>
      <c r="O8" s="6">
        <f t="shared" si="0"/>
        <v>2390.07184865202</v>
      </c>
      <c r="P8" s="6">
        <f t="shared" si="0"/>
        <v>2274.71535084697</v>
      </c>
      <c r="Q8" s="6">
        <f t="shared" si="0"/>
        <v>2166.39939046664</v>
      </c>
      <c r="R8" s="6">
        <f t="shared" si="0"/>
        <v>2064.69426334895</v>
      </c>
      <c r="S8" s="6">
        <f t="shared" si="0"/>
        <v>1969.19649140747</v>
      </c>
      <c r="T8" s="6">
        <f t="shared" si="0"/>
        <v>1879.52722197884</v>
      </c>
      <c r="U8" s="6">
        <f t="shared" si="0"/>
        <v>1795.33072486276</v>
      </c>
      <c r="V8" s="6">
        <f t="shared" si="0"/>
        <v>1716.2729810918</v>
      </c>
      <c r="W8" s="6">
        <f t="shared" si="0"/>
        <v>1642.04035783267</v>
      </c>
      <c r="X8" s="6">
        <f t="shared" si="0"/>
        <v>1572.33836416213</v>
      </c>
      <c r="Y8" s="6">
        <f t="shared" si="0"/>
        <v>1506.89048278135</v>
      </c>
      <c r="Z8" s="6">
        <f t="shared" si="0"/>
        <v>1445.43707303413</v>
      </c>
      <c r="AA8" s="6">
        <f t="shared" si="0"/>
        <v>1387.73434087712</v>
      </c>
      <c r="AB8" s="6">
        <f t="shared" si="0"/>
        <v>1333.5533717156</v>
      </c>
      <c r="AC8" s="6">
        <f t="shared" si="0"/>
        <v>1282.67922226817</v>
      </c>
      <c r="AD8" s="6">
        <f t="shared" si="0"/>
        <v>1234.91006785744</v>
      </c>
      <c r="AE8" s="6">
        <f t="shared" si="0"/>
        <v>1190.05640174407</v>
      </c>
      <c r="AF8" s="6">
        <f t="shared" si="0"/>
        <v>1147.94028332777</v>
      </c>
      <c r="AG8" s="6">
        <f t="shared" si="0"/>
        <v>1108.39463223265</v>
      </c>
      <c r="AH8" s="6">
        <f t="shared" si="0"/>
        <v>1071.26256547666</v>
      </c>
      <c r="AI8" s="6">
        <f t="shared" si="0"/>
        <v>1036.39677509546</v>
      </c>
      <c r="AJ8" s="6">
        <f t="shared" si="0"/>
        <v>1003.6589437516</v>
      </c>
      <c r="AK8" s="6">
        <f t="shared" si="0"/>
        <v>972.919196010896</v>
      </c>
    </row>
    <row r="9" spans="1:37">
      <c r="A9" s="24" t="s">
        <v>276</v>
      </c>
      <c r="B9" s="5">
        <f>'02 User Forecast'!B12</f>
        <v>687.75</v>
      </c>
      <c r="C9" s="5">
        <f>'02 User Forecast'!C12</f>
        <v>1036.42875</v>
      </c>
      <c r="D9" s="5">
        <f>'02 User Forecast'!D12</f>
        <v>1397.13249375</v>
      </c>
      <c r="E9" s="5">
        <f>'02 User Forecast'!E12</f>
        <v>1771.01522521875</v>
      </c>
      <c r="F9" s="5">
        <f>'02 User Forecast'!F12</f>
        <v>2159.29291505484</v>
      </c>
      <c r="G9" s="5">
        <f>'02 User Forecast'!G12</f>
        <v>2563.24799522339</v>
      </c>
      <c r="H9" s="5">
        <f>'02 User Forecast'!H12</f>
        <v>2984.23411917875</v>
      </c>
      <c r="I9" s="5">
        <f>'02 User Forecast'!I12</f>
        <v>3423.6812160419</v>
      </c>
      <c r="J9" s="5">
        <f>'02 User Forecast'!J12</f>
        <v>3883.10085843207</v>
      </c>
      <c r="K9" s="5">
        <f>'02 User Forecast'!K12</f>
        <v>4364.09196486045</v>
      </c>
      <c r="L9" s="5">
        <f>'02 User Forecast'!L12</f>
        <v>4868.34685893461</v>
      </c>
      <c r="M9" s="5">
        <f>'02 User Forecast'!M12</f>
        <v>5397.65770905105</v>
      </c>
      <c r="N9" s="5">
        <f>'02 User Forecast'!N12</f>
        <v>5953.92337377506</v>
      </c>
      <c r="O9" s="5">
        <f>'02 User Forecast'!O12</f>
        <v>6539.15667972889</v>
      </c>
      <c r="P9" s="5">
        <f>'02 User Forecast'!P12</f>
        <v>7155.49216053666</v>
      </c>
      <c r="Q9" s="5">
        <f>'02 User Forecast'!Q12</f>
        <v>7805.19428721506</v>
      </c>
      <c r="R9" s="5">
        <f>'02 User Forecast'!R12</f>
        <v>8490.66622235902</v>
      </c>
      <c r="S9" s="5">
        <f>'02 User Forecast'!S12</f>
        <v>9214.45913256072</v>
      </c>
      <c r="T9" s="5">
        <f>'02 User Forecast'!T12</f>
        <v>9979.28209572434</v>
      </c>
      <c r="U9" s="5">
        <f>'02 User Forecast'!U12</f>
        <v>10788.0126423094</v>
      </c>
      <c r="V9" s="5">
        <f>'02 User Forecast'!V12</f>
        <v>11643.7079720599</v>
      </c>
      <c r="W9" s="5">
        <f>'02 User Forecast'!W12</f>
        <v>12549.6168904641</v>
      </c>
      <c r="X9" s="5">
        <f>'02 User Forecast'!X12</f>
        <v>13509.1925120568</v>
      </c>
      <c r="Y9" s="5">
        <f>'02 User Forecast'!Y12</f>
        <v>14526.1057807232</v>
      </c>
      <c r="Z9" s="5">
        <f>'02 User Forecast'!Z12</f>
        <v>15604.2598604144</v>
      </c>
      <c r="AA9" s="5">
        <f>'02 User Forecast'!AA12</f>
        <v>16747.8054531476</v>
      </c>
      <c r="AB9" s="5">
        <f>'02 User Forecast'!AB12</f>
        <v>17961.1571048452</v>
      </c>
      <c r="AC9" s="5">
        <f>'02 User Forecast'!AC12</f>
        <v>19249.0105634996</v>
      </c>
      <c r="AD9" s="5">
        <f>'02 User Forecast'!AD12</f>
        <v>20616.3612583271</v>
      </c>
      <c r="AE9" s="5">
        <f>'02 User Forecast'!AE12</f>
        <v>22068.5239730315</v>
      </c>
      <c r="AF9" s="5">
        <f>'02 User Forecast'!AF12</f>
        <v>23611.1537910397</v>
      </c>
      <c r="AG9" s="5">
        <f>'02 User Forecast'!AG12</f>
        <v>25250.2683956268</v>
      </c>
      <c r="AH9" s="5">
        <f>'02 User Forecast'!AH12</f>
        <v>26992.2718132261</v>
      </c>
      <c r="AI9" s="5">
        <f>'02 User Forecast'!AI12</f>
        <v>28843.9796939534</v>
      </c>
      <c r="AJ9" s="5">
        <f>'02 User Forecast'!AJ12</f>
        <v>30812.6462294777</v>
      </c>
      <c r="AK9" s="5">
        <f>'02 User Forecast'!AK12</f>
        <v>32905.9928148714</v>
      </c>
    </row>
    <row r="10" spans="1:37">
      <c r="A10" s="24" t="s">
        <v>277</v>
      </c>
      <c r="B10" s="6">
        <f>IFERROR(('03 Revenue Forecast'!B6+'03 Revenue Forecast'!B7)/B9,0)</f>
        <v>3050</v>
      </c>
      <c r="C10" s="6">
        <f>IFERROR(('03 Revenue Forecast'!C6+'03 Revenue Forecast'!C7)/C9,0)</f>
        <v>3050</v>
      </c>
      <c r="D10" s="6">
        <f>IFERROR(('03 Revenue Forecast'!D6+'03 Revenue Forecast'!D7)/D9,0)</f>
        <v>3050</v>
      </c>
      <c r="E10" s="6">
        <f>IFERROR(('03 Revenue Forecast'!E6+'03 Revenue Forecast'!E7)/E9,0)</f>
        <v>3050</v>
      </c>
      <c r="F10" s="6">
        <f>IFERROR(('03 Revenue Forecast'!F6+'03 Revenue Forecast'!F7)/F9,0)</f>
        <v>3050</v>
      </c>
      <c r="G10" s="6">
        <f>IFERROR(('03 Revenue Forecast'!G6+'03 Revenue Forecast'!G7)/G9,0)</f>
        <v>3050</v>
      </c>
      <c r="H10" s="6">
        <f>IFERROR(('03 Revenue Forecast'!H6+'03 Revenue Forecast'!H7)/H9,0)</f>
        <v>3050</v>
      </c>
      <c r="I10" s="6">
        <f>IFERROR(('03 Revenue Forecast'!I6+'03 Revenue Forecast'!I7)/I9,0)</f>
        <v>3050</v>
      </c>
      <c r="J10" s="6">
        <f>IFERROR(('03 Revenue Forecast'!J6+'03 Revenue Forecast'!J7)/J9,0)</f>
        <v>3050</v>
      </c>
      <c r="K10" s="6">
        <f>IFERROR(('03 Revenue Forecast'!K6+'03 Revenue Forecast'!K7)/K9,0)</f>
        <v>3050</v>
      </c>
      <c r="L10" s="6">
        <f>IFERROR(('03 Revenue Forecast'!L6+'03 Revenue Forecast'!L7)/L9,0)</f>
        <v>3050</v>
      </c>
      <c r="M10" s="6">
        <f>IFERROR(('03 Revenue Forecast'!M6+'03 Revenue Forecast'!M7)/M9,0)</f>
        <v>3050</v>
      </c>
      <c r="N10" s="6">
        <f>IFERROR(('03 Revenue Forecast'!N6+'03 Revenue Forecast'!N7)/N9,0)</f>
        <v>3050</v>
      </c>
      <c r="O10" s="6">
        <f>IFERROR(('03 Revenue Forecast'!O6+'03 Revenue Forecast'!O7)/O9,0)</f>
        <v>3050</v>
      </c>
      <c r="P10" s="6">
        <f>IFERROR(('03 Revenue Forecast'!P6+'03 Revenue Forecast'!P7)/P9,0)</f>
        <v>3050</v>
      </c>
      <c r="Q10" s="6">
        <f>IFERROR(('03 Revenue Forecast'!Q6+'03 Revenue Forecast'!Q7)/Q9,0)</f>
        <v>3050</v>
      </c>
      <c r="R10" s="6">
        <f>IFERROR(('03 Revenue Forecast'!R6+'03 Revenue Forecast'!R7)/R9,0)</f>
        <v>3050</v>
      </c>
      <c r="S10" s="6">
        <f>IFERROR(('03 Revenue Forecast'!S6+'03 Revenue Forecast'!S7)/S9,0)</f>
        <v>3050</v>
      </c>
      <c r="T10" s="6">
        <f>IFERROR(('03 Revenue Forecast'!T6+'03 Revenue Forecast'!T7)/T9,0)</f>
        <v>3050</v>
      </c>
      <c r="U10" s="6">
        <f>IFERROR(('03 Revenue Forecast'!U6+'03 Revenue Forecast'!U7)/U9,0)</f>
        <v>3050</v>
      </c>
      <c r="V10" s="6">
        <f>IFERROR(('03 Revenue Forecast'!V6+'03 Revenue Forecast'!V7)/V9,0)</f>
        <v>3050</v>
      </c>
      <c r="W10" s="6">
        <f>IFERROR(('03 Revenue Forecast'!W6+'03 Revenue Forecast'!W7)/W9,0)</f>
        <v>3050</v>
      </c>
      <c r="X10" s="6">
        <f>IFERROR(('03 Revenue Forecast'!X6+'03 Revenue Forecast'!X7)/X9,0)</f>
        <v>3050</v>
      </c>
      <c r="Y10" s="6">
        <f>IFERROR(('03 Revenue Forecast'!Y6+'03 Revenue Forecast'!Y7)/Y9,0)</f>
        <v>3050</v>
      </c>
      <c r="Z10" s="6">
        <f>IFERROR(('03 Revenue Forecast'!Z6+'03 Revenue Forecast'!Z7)/Z9,0)</f>
        <v>3050</v>
      </c>
      <c r="AA10" s="6">
        <f>IFERROR(('03 Revenue Forecast'!AA6+'03 Revenue Forecast'!AA7)/AA9,0)</f>
        <v>3050</v>
      </c>
      <c r="AB10" s="6">
        <f>IFERROR(('03 Revenue Forecast'!AB6+'03 Revenue Forecast'!AB7)/AB9,0)</f>
        <v>3050</v>
      </c>
      <c r="AC10" s="6">
        <f>IFERROR(('03 Revenue Forecast'!AC6+'03 Revenue Forecast'!AC7)/AC9,0)</f>
        <v>3050</v>
      </c>
      <c r="AD10" s="6">
        <f>IFERROR(('03 Revenue Forecast'!AD6+'03 Revenue Forecast'!AD7)/AD9,0)</f>
        <v>3050</v>
      </c>
      <c r="AE10" s="6">
        <f>IFERROR(('03 Revenue Forecast'!AE6+'03 Revenue Forecast'!AE7)/AE9,0)</f>
        <v>3050</v>
      </c>
      <c r="AF10" s="6">
        <f>IFERROR(('03 Revenue Forecast'!AF6+'03 Revenue Forecast'!AF7)/AF9,0)</f>
        <v>3050</v>
      </c>
      <c r="AG10" s="6">
        <f>IFERROR(('03 Revenue Forecast'!AG6+'03 Revenue Forecast'!AG7)/AG9,0)</f>
        <v>3050</v>
      </c>
      <c r="AH10" s="6">
        <f>IFERROR(('03 Revenue Forecast'!AH6+'03 Revenue Forecast'!AH7)/AH9,0)</f>
        <v>3050</v>
      </c>
      <c r="AI10" s="6">
        <f>IFERROR(('03 Revenue Forecast'!AI6+'03 Revenue Forecast'!AI7)/AI9,0)</f>
        <v>3050</v>
      </c>
      <c r="AJ10" s="6">
        <f>IFERROR(('03 Revenue Forecast'!AJ6+'03 Revenue Forecast'!AJ7)/AJ9,0)</f>
        <v>3050</v>
      </c>
      <c r="AK10" s="6">
        <f>IFERROR(('03 Revenue Forecast'!AK6+'03 Revenue Forecast'!AK7)/AK9,0)</f>
        <v>3050</v>
      </c>
    </row>
    <row r="11" spans="1:37">
      <c r="A11" s="24" t="s">
        <v>238</v>
      </c>
      <c r="B11" s="7">
        <f>'05 Profitability'!B9</f>
        <v>0.20756631554653</v>
      </c>
      <c r="C11" s="7">
        <f>'05 Profitability'!C9</f>
        <v>0.378896753319134</v>
      </c>
      <c r="D11" s="7">
        <f>'05 Profitability'!D9</f>
        <v>0.486028969379898</v>
      </c>
      <c r="E11" s="7">
        <f>'05 Profitability'!E9</f>
        <v>0.559322062230718</v>
      </c>
      <c r="F11" s="7">
        <f>'05 Profitability'!F9</f>
        <v>0.612592247915118</v>
      </c>
      <c r="G11" s="7">
        <f>'05 Profitability'!G9</f>
        <v>0.653029661934019</v>
      </c>
      <c r="H11" s="7">
        <f>'05 Profitability'!H9</f>
        <v>0.684745216733277</v>
      </c>
      <c r="I11" s="7">
        <f>'05 Profitability'!I9</f>
        <v>0.710259495318176</v>
      </c>
      <c r="J11" s="7">
        <f>'05 Profitability'!J9</f>
        <v>0.731203931947985</v>
      </c>
      <c r="K11" s="7">
        <f>'05 Profitability'!K9</f>
        <v>0.748681087134637</v>
      </c>
      <c r="L11" s="7">
        <f>'05 Profitability'!L9</f>
        <v>0.763462891167289</v>
      </c>
      <c r="M11" s="7">
        <f>'05 Profitability'!M9</f>
        <v>0.77610594603061</v>
      </c>
      <c r="N11" s="7">
        <f>'05 Profitability'!N9</f>
        <v>0.787021731556657</v>
      </c>
      <c r="O11" s="7">
        <f>'05 Profitability'!O9</f>
        <v>0.7965210334517</v>
      </c>
      <c r="P11" s="7">
        <f>'05 Profitability'!P9</f>
        <v>0.804842998876398</v>
      </c>
      <c r="Q11" s="7">
        <f>'05 Profitability'!Q9</f>
        <v>0.812174686464835</v>
      </c>
      <c r="R11" s="7">
        <f>'05 Profitability'!R9</f>
        <v>0.818664550941436</v>
      </c>
      <c r="S11" s="7">
        <f>'05 Profitability'!S9</f>
        <v>0.824431949498015</v>
      </c>
      <c r="T11" s="7">
        <f>'05 Profitability'!T9</f>
        <v>0.829573974692854</v>
      </c>
      <c r="U11" s="7">
        <f>'05 Profitability'!U9</f>
        <v>0.834170451424768</v>
      </c>
      <c r="V11" s="7">
        <f>'05 Profitability'!V9</f>
        <v>0.838287648478879</v>
      </c>
      <c r="W11" s="7">
        <f>'05 Profitability'!W9</f>
        <v>0.841981074224625</v>
      </c>
      <c r="X11" s="7">
        <f>'05 Profitability'!X9</f>
        <v>0.845297609385106</v>
      </c>
      <c r="Y11" s="7">
        <f>'05 Profitability'!Y9</f>
        <v>0.848277152996424</v>
      </c>
      <c r="Z11" s="7">
        <f>'05 Profitability'!Z9</f>
        <v>0.850953906156596</v>
      </c>
      <c r="AA11" s="7">
        <f>'05 Profitability'!AA9</f>
        <v>0.853357383005188</v>
      </c>
      <c r="AB11" s="7">
        <f>'05 Profitability'!AB9</f>
        <v>0.855513214000767</v>
      </c>
      <c r="AC11" s="7">
        <f>'05 Profitability'!AC9</f>
        <v>0.857443789418828</v>
      </c>
      <c r="AD11" s="7">
        <f>'05 Profitability'!AD9</f>
        <v>0.859168778771208</v>
      </c>
      <c r="AE11" s="7">
        <f>'05 Profitability'!AE9</f>
        <v>0.86070555302666</v>
      </c>
      <c r="AF11" s="7">
        <f>'05 Profitability'!AF9</f>
        <v>0.862069530071335</v>
      </c>
      <c r="AG11" s="7">
        <f>'05 Profitability'!AG9</f>
        <v>0.863274459094038</v>
      </c>
      <c r="AH11" s="7">
        <f>'05 Profitability'!AH9</f>
        <v>0.864332656036911</v>
      </c>
      <c r="AI11" s="7">
        <f>'05 Profitability'!AI9</f>
        <v>0.865255199584647</v>
      </c>
      <c r="AJ11" s="7">
        <f>'05 Profitability'!AJ9</f>
        <v>0.866052095139758</v>
      </c>
      <c r="AK11" s="7">
        <f>'05 Profitability'!AK9</f>
        <v>0.866732412680265</v>
      </c>
    </row>
    <row r="12" spans="1:37">
      <c r="A12" s="24" t="s">
        <v>278</v>
      </c>
      <c r="B12" s="7">
        <f>'01 Assumptions'!$E$10</f>
        <v>0.035</v>
      </c>
      <c r="C12" s="7">
        <f>'01 Assumptions'!$E$10</f>
        <v>0.035</v>
      </c>
      <c r="D12" s="7">
        <f>'01 Assumptions'!$E$10</f>
        <v>0.035</v>
      </c>
      <c r="E12" s="7">
        <f>'01 Assumptions'!$E$10</f>
        <v>0.035</v>
      </c>
      <c r="F12" s="7">
        <f>'01 Assumptions'!$E$10</f>
        <v>0.035</v>
      </c>
      <c r="G12" s="7">
        <f>'01 Assumptions'!$E$10</f>
        <v>0.035</v>
      </c>
      <c r="H12" s="7">
        <f>'01 Assumptions'!$E$10</f>
        <v>0.035</v>
      </c>
      <c r="I12" s="7">
        <f>'01 Assumptions'!$E$10</f>
        <v>0.035</v>
      </c>
      <c r="J12" s="7">
        <f>'01 Assumptions'!$E$10</f>
        <v>0.035</v>
      </c>
      <c r="K12" s="7">
        <f>'01 Assumptions'!$E$10</f>
        <v>0.035</v>
      </c>
      <c r="L12" s="7">
        <f>'01 Assumptions'!$E$10</f>
        <v>0.035</v>
      </c>
      <c r="M12" s="7">
        <f>'01 Assumptions'!$E$10</f>
        <v>0.035</v>
      </c>
      <c r="N12" s="7">
        <f>'01 Assumptions'!$E$10</f>
        <v>0.035</v>
      </c>
      <c r="O12" s="7">
        <f>'01 Assumptions'!$E$10</f>
        <v>0.035</v>
      </c>
      <c r="P12" s="7">
        <f>'01 Assumptions'!$E$10</f>
        <v>0.035</v>
      </c>
      <c r="Q12" s="7">
        <f>'01 Assumptions'!$E$10</f>
        <v>0.035</v>
      </c>
      <c r="R12" s="7">
        <f>'01 Assumptions'!$E$10</f>
        <v>0.035</v>
      </c>
      <c r="S12" s="7">
        <f>'01 Assumptions'!$E$10</f>
        <v>0.035</v>
      </c>
      <c r="T12" s="7">
        <f>'01 Assumptions'!$E$10</f>
        <v>0.035</v>
      </c>
      <c r="U12" s="7">
        <f>'01 Assumptions'!$E$10</f>
        <v>0.035</v>
      </c>
      <c r="V12" s="7">
        <f>'01 Assumptions'!$E$10</f>
        <v>0.035</v>
      </c>
      <c r="W12" s="7">
        <f>'01 Assumptions'!$E$10</f>
        <v>0.035</v>
      </c>
      <c r="X12" s="7">
        <f>'01 Assumptions'!$E$10</f>
        <v>0.035</v>
      </c>
      <c r="Y12" s="7">
        <f>'01 Assumptions'!$E$10</f>
        <v>0.035</v>
      </c>
      <c r="Z12" s="7">
        <f>'01 Assumptions'!$E$10</f>
        <v>0.035</v>
      </c>
      <c r="AA12" s="7">
        <f>'01 Assumptions'!$E$10</f>
        <v>0.035</v>
      </c>
      <c r="AB12" s="7">
        <f>'01 Assumptions'!$E$10</f>
        <v>0.035</v>
      </c>
      <c r="AC12" s="7">
        <f>'01 Assumptions'!$E$10</f>
        <v>0.035</v>
      </c>
      <c r="AD12" s="7">
        <f>'01 Assumptions'!$E$10</f>
        <v>0.035</v>
      </c>
      <c r="AE12" s="7">
        <f>'01 Assumptions'!$E$10</f>
        <v>0.035</v>
      </c>
      <c r="AF12" s="7">
        <f>'01 Assumptions'!$E$10</f>
        <v>0.035</v>
      </c>
      <c r="AG12" s="7">
        <f>'01 Assumptions'!$E$10</f>
        <v>0.035</v>
      </c>
      <c r="AH12" s="7">
        <f>'01 Assumptions'!$E$10</f>
        <v>0.035</v>
      </c>
      <c r="AI12" s="7">
        <f>'01 Assumptions'!$E$10</f>
        <v>0.035</v>
      </c>
      <c r="AJ12" s="7">
        <f>'01 Assumptions'!$E$10</f>
        <v>0.035</v>
      </c>
      <c r="AK12" s="7">
        <f>'01 Assumptions'!$E$10</f>
        <v>0.035</v>
      </c>
    </row>
    <row r="13" spans="1:37">
      <c r="A13" s="24" t="s">
        <v>279</v>
      </c>
      <c r="B13" s="6">
        <f t="shared" ref="B13:AK13" si="1">IFERROR(B10*B11/B12,0)</f>
        <v>18087.9217833405</v>
      </c>
      <c r="C13" s="6">
        <f t="shared" si="1"/>
        <v>33018.1456463816</v>
      </c>
      <c r="D13" s="6">
        <f t="shared" si="1"/>
        <v>42353.9530459625</v>
      </c>
      <c r="E13" s="6">
        <f t="shared" si="1"/>
        <v>48740.9225658198</v>
      </c>
      <c r="F13" s="6">
        <f t="shared" si="1"/>
        <v>53383.0387468888</v>
      </c>
      <c r="G13" s="6">
        <f t="shared" si="1"/>
        <v>56906.8705399645</v>
      </c>
      <c r="H13" s="6">
        <f t="shared" si="1"/>
        <v>59670.6546010427</v>
      </c>
      <c r="I13" s="6">
        <f t="shared" si="1"/>
        <v>61894.0417348697</v>
      </c>
      <c r="J13" s="6">
        <f t="shared" si="1"/>
        <v>63719.1997840387</v>
      </c>
      <c r="K13" s="6">
        <f t="shared" si="1"/>
        <v>65242.2090217327</v>
      </c>
      <c r="L13" s="6">
        <f t="shared" si="1"/>
        <v>66530.3376588638</v>
      </c>
      <c r="M13" s="6">
        <f t="shared" si="1"/>
        <v>67632.0895826674</v>
      </c>
      <c r="N13" s="6">
        <f t="shared" si="1"/>
        <v>68583.3223213658</v>
      </c>
      <c r="O13" s="6">
        <f t="shared" si="1"/>
        <v>69411.1186293624</v>
      </c>
      <c r="P13" s="6">
        <f t="shared" si="1"/>
        <v>70136.3184735147</v>
      </c>
      <c r="Q13" s="6">
        <f t="shared" si="1"/>
        <v>70775.2226776499</v>
      </c>
      <c r="R13" s="6">
        <f t="shared" si="1"/>
        <v>71340.7680106108</v>
      </c>
      <c r="S13" s="6">
        <f t="shared" si="1"/>
        <v>71843.3555991127</v>
      </c>
      <c r="T13" s="6">
        <f t="shared" si="1"/>
        <v>72291.4463660915</v>
      </c>
      <c r="U13" s="6">
        <f t="shared" si="1"/>
        <v>72691.9964813012</v>
      </c>
      <c r="V13" s="6">
        <f t="shared" si="1"/>
        <v>73050.7807960166</v>
      </c>
      <c r="W13" s="6">
        <f t="shared" si="1"/>
        <v>73372.6364681459</v>
      </c>
      <c r="X13" s="6">
        <f t="shared" si="1"/>
        <v>73661.6488178449</v>
      </c>
      <c r="Y13" s="6">
        <f t="shared" si="1"/>
        <v>73921.294761117</v>
      </c>
      <c r="Z13" s="6">
        <f t="shared" si="1"/>
        <v>74154.5546793605</v>
      </c>
      <c r="AA13" s="6">
        <f t="shared" si="1"/>
        <v>74364.0005190236</v>
      </c>
      <c r="AB13" s="6">
        <f t="shared" si="1"/>
        <v>74551.8657914954</v>
      </c>
      <c r="AC13" s="6">
        <f t="shared" si="1"/>
        <v>74720.101649355</v>
      </c>
      <c r="AD13" s="6">
        <f t="shared" si="1"/>
        <v>74870.4221500624</v>
      </c>
      <c r="AE13" s="6">
        <f t="shared" si="1"/>
        <v>75004.3410494661</v>
      </c>
      <c r="AF13" s="6">
        <f t="shared" si="1"/>
        <v>75123.2019062163</v>
      </c>
      <c r="AG13" s="6">
        <f t="shared" si="1"/>
        <v>75228.202863909</v>
      </c>
      <c r="AH13" s="6">
        <f t="shared" si="1"/>
        <v>75320.4171689308</v>
      </c>
      <c r="AI13" s="6">
        <f t="shared" si="1"/>
        <v>75400.8102495193</v>
      </c>
      <c r="AJ13" s="6">
        <f t="shared" si="1"/>
        <v>75470.2540050361</v>
      </c>
      <c r="AK13" s="6">
        <f t="shared" si="1"/>
        <v>75529.5388192802</v>
      </c>
    </row>
    <row r="14" spans="1:37">
      <c r="A14" s="24" t="s">
        <v>280</v>
      </c>
      <c r="B14" s="8">
        <f t="shared" ref="B14:AK14" si="2">IFERROR(B13/B8,0)</f>
        <v>3.77956574577264</v>
      </c>
      <c r="C14" s="8">
        <f t="shared" si="2"/>
        <v>7.29820697631829</v>
      </c>
      <c r="D14" s="8">
        <f t="shared" si="2"/>
        <v>9.89916073966898</v>
      </c>
      <c r="E14" s="8">
        <f t="shared" si="2"/>
        <v>12.040965785951</v>
      </c>
      <c r="F14" s="8">
        <f t="shared" si="2"/>
        <v>13.9330929341407</v>
      </c>
      <c r="G14" s="8">
        <f t="shared" si="2"/>
        <v>15.6852034205522</v>
      </c>
      <c r="H14" s="8">
        <f t="shared" si="2"/>
        <v>17.3605225737513</v>
      </c>
      <c r="I14" s="8">
        <f t="shared" si="2"/>
        <v>18.9982350369368</v>
      </c>
      <c r="J14" s="8">
        <f t="shared" si="2"/>
        <v>20.6240221054304</v>
      </c>
      <c r="K14" s="8">
        <f t="shared" si="2"/>
        <v>22.2554668768619</v>
      </c>
      <c r="L14" s="8">
        <f t="shared" si="2"/>
        <v>23.9050198769557</v>
      </c>
      <c r="M14" s="8">
        <f t="shared" si="2"/>
        <v>25.5817158505285</v>
      </c>
      <c r="N14" s="8">
        <f t="shared" si="2"/>
        <v>27.2922116137815</v>
      </c>
      <c r="O14" s="8">
        <f t="shared" si="2"/>
        <v>29.0414360005578</v>
      </c>
      <c r="P14" s="8">
        <f t="shared" si="2"/>
        <v>30.8330088190595</v>
      </c>
      <c r="Q14" s="8">
        <f t="shared" si="2"/>
        <v>32.6695174440596</v>
      </c>
      <c r="R14" s="8">
        <f t="shared" si="2"/>
        <v>34.5527031662767</v>
      </c>
      <c r="S14" s="8">
        <f t="shared" si="2"/>
        <v>36.483589074325</v>
      </c>
      <c r="T14" s="8">
        <f t="shared" si="2"/>
        <v>38.4625694806272</v>
      </c>
      <c r="U14" s="8">
        <f t="shared" si="2"/>
        <v>40.4894738749919</v>
      </c>
      <c r="V14" s="8">
        <f t="shared" si="2"/>
        <v>42.5636140642066</v>
      </c>
      <c r="W14" s="8">
        <f t="shared" si="2"/>
        <v>44.6838204177821</v>
      </c>
      <c r="X14" s="8">
        <f t="shared" si="2"/>
        <v>46.8484713575615</v>
      </c>
      <c r="Y14" s="8">
        <f t="shared" si="2"/>
        <v>49.0555190345861</v>
      </c>
      <c r="Z14" s="8">
        <f t="shared" si="2"/>
        <v>51.3025133108715</v>
      </c>
      <c r="AA14" s="8">
        <f t="shared" si="2"/>
        <v>53.586625572746</v>
      </c>
      <c r="AB14" s="8">
        <f t="shared" si="2"/>
        <v>55.904673463189</v>
      </c>
      <c r="AC14" s="8">
        <f t="shared" si="2"/>
        <v>58.2531472812251</v>
      </c>
      <c r="AD14" s="8">
        <f t="shared" si="2"/>
        <v>60.6282385242532</v>
      </c>
      <c r="AE14" s="8">
        <f t="shared" si="2"/>
        <v>63.0258708238907</v>
      </c>
      <c r="AF14" s="8">
        <f t="shared" si="2"/>
        <v>65.4417333351534</v>
      </c>
      <c r="AG14" s="8">
        <f t="shared" si="2"/>
        <v>67.8713164754113</v>
      </c>
      <c r="AH14" s="8">
        <f t="shared" si="2"/>
        <v>70.3099497697996</v>
      </c>
      <c r="AI14" s="8">
        <f t="shared" si="2"/>
        <v>72.7528414419993</v>
      </c>
      <c r="AJ14" s="8">
        <f t="shared" si="2"/>
        <v>75.1951192931473</v>
      </c>
      <c r="AK14" s="8">
        <f t="shared" si="2"/>
        <v>77.6318723373553</v>
      </c>
    </row>
    <row r="15" spans="1:37">
      <c r="A15" s="24" t="s">
        <v>281</v>
      </c>
      <c r="B15" s="5">
        <f t="shared" ref="B15:AK15" si="3">IFERROR(B8/(B10*B11),0)</f>
        <v>7.55944743212499</v>
      </c>
      <c r="C15" s="5">
        <f t="shared" si="3"/>
        <v>3.9148558905138</v>
      </c>
      <c r="D15" s="5">
        <f t="shared" si="3"/>
        <v>2.88624756409239</v>
      </c>
      <c r="E15" s="5">
        <f t="shared" si="3"/>
        <v>2.37285190235859</v>
      </c>
      <c r="F15" s="5">
        <f t="shared" si="3"/>
        <v>2.05061637832179</v>
      </c>
      <c r="G15" s="5">
        <f t="shared" si="3"/>
        <v>1.82155295059748</v>
      </c>
      <c r="H15" s="5">
        <f t="shared" si="3"/>
        <v>1.64577007691162</v>
      </c>
      <c r="I15" s="5">
        <f t="shared" si="3"/>
        <v>1.50389909988372</v>
      </c>
      <c r="J15" s="5">
        <f t="shared" si="3"/>
        <v>1.38534706883899</v>
      </c>
      <c r="K15" s="5">
        <f t="shared" si="3"/>
        <v>1.28379371816878</v>
      </c>
      <c r="L15" s="5">
        <f t="shared" si="3"/>
        <v>1.19520622524022</v>
      </c>
      <c r="M15" s="5">
        <f t="shared" si="3"/>
        <v>1.11686912396216</v>
      </c>
      <c r="N15" s="5">
        <f t="shared" si="3"/>
        <v>1.04687113582987</v>
      </c>
      <c r="O15" s="5">
        <f t="shared" si="3"/>
        <v>0.983815971458155</v>
      </c>
      <c r="P15" s="5">
        <f t="shared" si="3"/>
        <v>0.92665067944219</v>
      </c>
      <c r="Q15" s="5">
        <f t="shared" si="3"/>
        <v>0.874559246868331</v>
      </c>
      <c r="R15" s="5">
        <f t="shared" si="3"/>
        <v>0.826894163213086</v>
      </c>
      <c r="S15" s="5">
        <f t="shared" si="3"/>
        <v>0.783130971934322</v>
      </c>
      <c r="T15" s="5">
        <f t="shared" si="3"/>
        <v>0.74283722999368</v>
      </c>
      <c r="U15" s="5">
        <f t="shared" si="3"/>
        <v>0.705650773819404</v>
      </c>
      <c r="V15" s="5">
        <f t="shared" si="3"/>
        <v>0.671264158356689</v>
      </c>
      <c r="W15" s="5">
        <f t="shared" si="3"/>
        <v>0.639413288843549</v>
      </c>
      <c r="X15" s="5">
        <f t="shared" si="3"/>
        <v>0.609868961430201</v>
      </c>
      <c r="Y15" s="5">
        <f t="shared" si="3"/>
        <v>0.582430461112532</v>
      </c>
      <c r="Z15" s="5">
        <f t="shared" si="3"/>
        <v>0.556920640482033</v>
      </c>
      <c r="AA15" s="5">
        <f t="shared" si="3"/>
        <v>0.533182081649118</v>
      </c>
      <c r="AB15" s="5">
        <f t="shared" si="3"/>
        <v>0.511074062354406</v>
      </c>
      <c r="AC15" s="5">
        <f t="shared" si="3"/>
        <v>0.490470127450729</v>
      </c>
      <c r="AD15" s="5">
        <f t="shared" si="3"/>
        <v>0.471256122013162</v>
      </c>
      <c r="AE15" s="5">
        <f t="shared" si="3"/>
        <v>0.453328580754782</v>
      </c>
      <c r="AF15" s="5">
        <f t="shared" si="3"/>
        <v>0.436593395610455</v>
      </c>
      <c r="AG15" s="5">
        <f t="shared" si="3"/>
        <v>0.420964702839963</v>
      </c>
      <c r="AH15" s="5">
        <f t="shared" si="3"/>
        <v>0.40636394514537</v>
      </c>
      <c r="AI15" s="5">
        <f t="shared" si="3"/>
        <v>0.392719074679805</v>
      </c>
      <c r="AJ15" s="5">
        <f t="shared" si="3"/>
        <v>0.379963870527862</v>
      </c>
      <c r="AK15" s="5">
        <f t="shared" si="3"/>
        <v>0.368037350010949</v>
      </c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2">
    <mergeCell ref="A1:AK1"/>
    <mergeCell ref="A2:AK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2" workbookViewId="0">
      <selection activeCell="A4" sqref="A4"/>
    </sheetView>
  </sheetViews>
  <sheetFormatPr defaultColWidth="9" defaultRowHeight="14" outlineLevelCol="6"/>
  <cols>
    <col min="1" max="1" width="15" customWidth="1"/>
    <col min="2" max="4" width="18" customWidth="1"/>
    <col min="5" max="5" width="20" customWidth="1"/>
    <col min="6" max="6" width="18" customWidth="1"/>
    <col min="7" max="7" width="22" customWidth="1"/>
  </cols>
  <sheetData>
    <row r="1" ht="30" customHeight="1" spans="1:7">
      <c r="A1" s="1" t="s">
        <v>282</v>
      </c>
    </row>
    <row r="2" ht="30" customHeight="1" spans="1:7">
      <c r="A2" s="2" t="s">
        <v>283</v>
      </c>
    </row>
    <row r="4" spans="1:7">
      <c r="A4" s="3" t="s">
        <v>284</v>
      </c>
      <c r="B4" s="3" t="s">
        <v>285</v>
      </c>
      <c r="C4" s="3" t="s">
        <v>234</v>
      </c>
      <c r="D4" s="3" t="s">
        <v>240</v>
      </c>
      <c r="E4" s="3" t="s">
        <v>247</v>
      </c>
      <c r="F4" s="3" t="s">
        <v>246</v>
      </c>
      <c r="G4" s="3" t="s">
        <v>286</v>
      </c>
    </row>
    <row r="5" spans="1:7">
      <c r="A5" t="s">
        <v>153</v>
      </c>
      <c r="B5" s="10">
        <f>'05 Profitability'!B6</f>
        <v>5134401.25</v>
      </c>
      <c r="C5" s="10">
        <f>'04 Cost Forecast'!B19</f>
        <v>9363952.0625</v>
      </c>
      <c r="D5" s="10">
        <f>'05 Profitability'!B11</f>
        <v>-4229550.8125</v>
      </c>
      <c r="E5" s="10">
        <f>'05 Profitability'!B18</f>
        <v>-4229550.8125</v>
      </c>
      <c r="F5" s="10">
        <f>'05 Profitability'!B17</f>
        <v>5770449.1875</v>
      </c>
      <c r="G5" s="23" t="str">
        <f t="shared" ref="G5:G40" si="0">IF(E5&gt;0,"Break-even achieved","Not yet")</f>
        <v>Not yet</v>
      </c>
    </row>
    <row r="6" spans="1:7">
      <c r="A6" t="s">
        <v>154</v>
      </c>
      <c r="B6" s="10">
        <f>'05 Profitability'!C6</f>
        <v>6770398.45625</v>
      </c>
      <c r="C6" s="10">
        <f>'04 Cost Forecast'!C19</f>
        <v>9557250.8028125</v>
      </c>
      <c r="D6" s="10">
        <f>'05 Profitability'!C11</f>
        <v>-2786852.3465625</v>
      </c>
      <c r="E6" s="10">
        <f>'05 Profitability'!C18</f>
        <v>-7016403.1590625</v>
      </c>
      <c r="F6" s="10">
        <f>'05 Profitability'!C17</f>
        <v>2983596.8409375</v>
      </c>
      <c r="G6" s="23" t="str">
        <f t="shared" si="0"/>
        <v>Not yet</v>
      </c>
    </row>
    <row r="7" spans="1:7">
      <c r="A7" t="s">
        <v>155</v>
      </c>
      <c r="B7" s="10">
        <f>'05 Profitability'!D6</f>
        <v>8460377.31653125</v>
      </c>
      <c r="C7" s="10">
        <f>'04 Cost Forecast'!D19</f>
        <v>9759574.95502656</v>
      </c>
      <c r="D7" s="10">
        <f>'05 Profitability'!D11</f>
        <v>-1299197.63849531</v>
      </c>
      <c r="E7" s="10">
        <f>'05 Profitability'!D18</f>
        <v>-8315600.79755781</v>
      </c>
      <c r="F7" s="10">
        <f>'05 Profitability'!D17</f>
        <v>1684399.20244219</v>
      </c>
      <c r="G7" s="23" t="str">
        <f t="shared" si="0"/>
        <v>Not yet</v>
      </c>
    </row>
    <row r="8" spans="1:7">
      <c r="A8" t="s">
        <v>156</v>
      </c>
      <c r="B8" s="10">
        <f>'05 Profitability'!E6</f>
        <v>10209456.7706089</v>
      </c>
      <c r="C8" s="10">
        <f>'04 Cost Forecast'!E19</f>
        <v>9971704.31835845</v>
      </c>
      <c r="D8" s="10">
        <f>'05 Profitability'!E11</f>
        <v>237752.452250462</v>
      </c>
      <c r="E8" s="10">
        <f>'05 Profitability'!E18</f>
        <v>-8077848.34530735</v>
      </c>
      <c r="F8" s="10">
        <f>'05 Profitability'!E17</f>
        <v>1922151.65469265</v>
      </c>
      <c r="G8" s="23" t="str">
        <f t="shared" si="0"/>
        <v>Not yet</v>
      </c>
    </row>
    <row r="9" spans="1:7">
      <c r="A9" t="s">
        <v>157</v>
      </c>
      <c r="B9" s="10">
        <f>'05 Profitability'!F6</f>
        <v>12023077.977149</v>
      </c>
      <c r="C9" s="10">
        <f>'04 Cost Forecast'!F19</f>
        <v>10194473.861856</v>
      </c>
      <c r="D9" s="10">
        <f>'05 Profitability'!F11</f>
        <v>1828604.11529303</v>
      </c>
      <c r="E9" s="10">
        <f>'05 Profitability'!F18</f>
        <v>-6249244.23001432</v>
      </c>
      <c r="F9" s="10">
        <f>'05 Profitability'!F17</f>
        <v>3750755.76998568</v>
      </c>
      <c r="G9" s="23" t="str">
        <f t="shared" si="0"/>
        <v>Not yet</v>
      </c>
    </row>
    <row r="10" spans="1:7">
      <c r="A10" t="s">
        <v>158</v>
      </c>
      <c r="B10" s="10">
        <f>'05 Profitability'!G6</f>
        <v>13907029.8520003</v>
      </c>
      <c r="C10" s="10">
        <f>'04 Cost Forecast'!G19</f>
        <v>10428778.211217</v>
      </c>
      <c r="D10" s="10">
        <f>'05 Profitability'!G11</f>
        <v>3478251.64078328</v>
      </c>
      <c r="E10" s="10">
        <f>'05 Profitability'!G18</f>
        <v>-2770992.58923103</v>
      </c>
      <c r="F10" s="10">
        <f>'05 Profitability'!G17</f>
        <v>7229007.41076897</v>
      </c>
      <c r="G10" s="23" t="str">
        <f t="shared" si="0"/>
        <v>Not yet</v>
      </c>
    </row>
    <row r="11" spans="1:7">
      <c r="A11" t="s">
        <v>159</v>
      </c>
      <c r="B11" s="10">
        <f>'05 Profitability'!H6</f>
        <v>15867476.4961275</v>
      </c>
      <c r="C11" s="10">
        <f>'04 Cost Forecast'!H19</f>
        <v>10675576.492314</v>
      </c>
      <c r="D11" s="10">
        <f>'05 Profitability'!H11</f>
        <v>5191900.00381353</v>
      </c>
      <c r="E11" s="10">
        <f>'05 Profitability'!H18</f>
        <v>2420907.41458249</v>
      </c>
      <c r="F11" s="10">
        <f>'05 Profitability'!H17</f>
        <v>12420907.4145825</v>
      </c>
      <c r="G11" s="23" t="str">
        <f t="shared" si="0"/>
        <v>Break-even achieved</v>
      </c>
    </row>
    <row r="12" spans="1:7">
      <c r="A12" t="s">
        <v>160</v>
      </c>
      <c r="B12" s="10">
        <f>'05 Profitability'!I6</f>
        <v>17910986.6641422</v>
      </c>
      <c r="C12" s="10">
        <f>'04 Cost Forecast'!I19</f>
        <v>10935897.561136</v>
      </c>
      <c r="D12" s="10">
        <f>'05 Profitability'!I11</f>
        <v>6975089.10300622</v>
      </c>
      <c r="E12" s="10">
        <f>'05 Profitability'!I18</f>
        <v>9395996.51758872</v>
      </c>
      <c r="F12" s="10">
        <f>'05 Profitability'!I17</f>
        <v>19395996.5175887</v>
      </c>
      <c r="G12" s="23" t="str">
        <f t="shared" si="0"/>
        <v>Break-even achieved</v>
      </c>
    </row>
    <row r="13" spans="1:7">
      <c r="A13" t="s">
        <v>161</v>
      </c>
      <c r="B13" s="10">
        <f>'05 Profitability'!J6</f>
        <v>20044565.4365615</v>
      </c>
      <c r="C13" s="10">
        <f>'04 Cost Forecast'!J19</f>
        <v>11210845.6523666</v>
      </c>
      <c r="D13" s="10">
        <f>'05 Profitability'!J11</f>
        <v>8833719.78419487</v>
      </c>
      <c r="E13" s="10">
        <f>'05 Profitability'!J18</f>
        <v>18229716.3017836</v>
      </c>
      <c r="F13" s="10">
        <f>'05 Profitability'!J17</f>
        <v>28229716.3017836</v>
      </c>
      <c r="G13" s="23" t="str">
        <f t="shared" si="0"/>
        <v>Break-even achieved</v>
      </c>
    </row>
    <row r="14" spans="1:7">
      <c r="A14" t="s">
        <v>162</v>
      </c>
      <c r="B14" s="10">
        <f>'05 Profitability'!K6</f>
        <v>22275688.2721283</v>
      </c>
      <c r="C14" s="10">
        <f>'04 Cost Forecast'!K19</f>
        <v>11501606.4815364</v>
      </c>
      <c r="D14" s="10">
        <f>'05 Profitability'!K11</f>
        <v>10774081.7905919</v>
      </c>
      <c r="E14" s="10">
        <f>'05 Profitability'!K18</f>
        <v>29003798.0923755</v>
      </c>
      <c r="F14" s="10">
        <f>'05 Profitability'!K17</f>
        <v>39003798.0923755</v>
      </c>
      <c r="G14" s="23" t="str">
        <f t="shared" si="0"/>
        <v>Break-even achieved</v>
      </c>
    </row>
    <row r="15" spans="1:7">
      <c r="A15" t="s">
        <v>163</v>
      </c>
      <c r="B15" s="10">
        <f>'05 Profitability'!L6</f>
        <v>24612337.6308423</v>
      </c>
      <c r="C15" s="10">
        <f>'04 Cost Forecast'!L19</f>
        <v>11809453.8386473</v>
      </c>
      <c r="D15" s="10">
        <f>'05 Profitability'!L11</f>
        <v>12802883.792195</v>
      </c>
      <c r="E15" s="10">
        <f>'05 Profitability'!L18</f>
        <v>41806681.8845705</v>
      </c>
      <c r="F15" s="10">
        <f>'05 Profitability'!L17</f>
        <v>51806681.8845705</v>
      </c>
      <c r="G15" s="23" t="str">
        <f t="shared" si="0"/>
        <v>Break-even achieved</v>
      </c>
    </row>
    <row r="16" spans="1:7">
      <c r="A16" t="s">
        <v>164</v>
      </c>
      <c r="B16" s="10">
        <f>'05 Profitability'!M6</f>
        <v>27063042.3738666</v>
      </c>
      <c r="C16" s="10">
        <f>'04 Cost Forecast'!M19</f>
        <v>12135756.7143794</v>
      </c>
      <c r="D16" s="10">
        <f>'05 Profitability'!M11</f>
        <v>14927285.6594872</v>
      </c>
      <c r="E16" s="10">
        <f>'05 Profitability'!M18</f>
        <v>56733967.5440577</v>
      </c>
      <c r="F16" s="10">
        <f>'05 Profitability'!M17</f>
        <v>66733967.5440577</v>
      </c>
      <c r="G16" s="23" t="str">
        <f t="shared" si="0"/>
        <v>Break-even achieved</v>
      </c>
    </row>
    <row r="17" spans="1:7">
      <c r="A17" t="s">
        <v>165</v>
      </c>
      <c r="B17" s="10">
        <f>'05 Profitability'!N6</f>
        <v>29636920.1633001</v>
      </c>
      <c r="C17" s="10">
        <f>'04 Cost Forecast'!N19</f>
        <v>12481987.0034788</v>
      </c>
      <c r="D17" s="10">
        <f>'05 Profitability'!N11</f>
        <v>17154933.1598213</v>
      </c>
      <c r="E17" s="10">
        <f>'05 Profitability'!N18</f>
        <v>73888900.703879</v>
      </c>
      <c r="F17" s="10">
        <f>'05 Profitability'!N17</f>
        <v>83888900.703879</v>
      </c>
      <c r="G17" s="23" t="str">
        <f t="shared" si="0"/>
        <v>Break-even achieved</v>
      </c>
    </row>
    <row r="18" spans="1:7">
      <c r="A18" t="s">
        <v>166</v>
      </c>
      <c r="B18" s="10">
        <f>'05 Profitability'!O6</f>
        <v>32343723.103051</v>
      </c>
      <c r="C18" s="10">
        <f>'04 Cost Forecast'!O19</f>
        <v>12849727.833722</v>
      </c>
      <c r="D18" s="10">
        <f>'05 Profitability'!O11</f>
        <v>19493995.2693291</v>
      </c>
      <c r="E18" s="10">
        <f>'05 Profitability'!O18</f>
        <v>93382895.9732081</v>
      </c>
      <c r="F18" s="10">
        <f>'05 Profitability'!O17</f>
        <v>103382895.973208</v>
      </c>
      <c r="G18" s="23" t="str">
        <f t="shared" si="0"/>
        <v>Break-even achieved</v>
      </c>
    </row>
    <row r="19" spans="1:7">
      <c r="A19" t="s">
        <v>167</v>
      </c>
      <c r="B19" s="10">
        <f>'05 Profitability'!P6</f>
        <v>35193886.8818336</v>
      </c>
      <c r="C19" s="10">
        <f>'04 Cost Forecast'!P19</f>
        <v>13240682.572971</v>
      </c>
      <c r="D19" s="10">
        <f>'05 Profitability'!P11</f>
        <v>21953204.3088626</v>
      </c>
      <c r="E19" s="10">
        <f>'05 Profitability'!P18</f>
        <v>115336100.282071</v>
      </c>
      <c r="F19" s="10">
        <f>'05 Profitability'!P17</f>
        <v>125336100.282071</v>
      </c>
      <c r="G19" s="23" t="str">
        <f t="shared" si="0"/>
        <v>Break-even achieved</v>
      </c>
    </row>
    <row r="20" spans="1:7">
      <c r="A20" t="s">
        <v>168</v>
      </c>
      <c r="B20" s="10">
        <f>'05 Profitability'!Q6</f>
        <v>38198583.7007734</v>
      </c>
      <c r="C20" s="10">
        <f>'04 Cost Forecast'!Q19</f>
        <v>13656684.5713163</v>
      </c>
      <c r="D20" s="10">
        <f>'05 Profitability'!Q11</f>
        <v>24541899.1294571</v>
      </c>
      <c r="E20" s="10">
        <f>'05 Profitability'!Q18</f>
        <v>139877999.411528</v>
      </c>
      <c r="F20" s="10">
        <f>'05 Profitability'!Q17</f>
        <v>149877999.411528</v>
      </c>
      <c r="G20" s="23" t="str">
        <f t="shared" si="0"/>
        <v>Break-even achieved</v>
      </c>
    </row>
    <row r="21" spans="1:7">
      <c r="A21" t="s">
        <v>169</v>
      </c>
      <c r="B21" s="10">
        <f>'05 Profitability'!R6</f>
        <v>41369779.2913915</v>
      </c>
      <c r="C21" s="10">
        <f>'04 Cost Forecast'!R19</f>
        <v>14099707.7001715</v>
      </c>
      <c r="D21" s="10">
        <f>'05 Profitability'!R11</f>
        <v>27270071.59122</v>
      </c>
      <c r="E21" s="10">
        <f>'05 Profitability'!R18</f>
        <v>167148071.002748</v>
      </c>
      <c r="F21" s="10">
        <f>'05 Profitability'!R17</f>
        <v>177148071.002748</v>
      </c>
      <c r="G21" s="23" t="str">
        <f t="shared" si="0"/>
        <v>Break-even achieved</v>
      </c>
    </row>
    <row r="22" spans="1:7">
      <c r="A22" t="s">
        <v>170</v>
      </c>
      <c r="B22" s="10">
        <f>'05 Profitability'!S6</f>
        <v>44720294.3549998</v>
      </c>
      <c r="C22" s="10">
        <f>'04 Cost Forecast'!S19</f>
        <v>14571877.755478</v>
      </c>
      <c r="D22" s="10">
        <f>'05 Profitability'!S11</f>
        <v>30148416.5995218</v>
      </c>
      <c r="E22" s="10">
        <f>'05 Profitability'!S18</f>
        <v>197296487.602269</v>
      </c>
      <c r="F22" s="10">
        <f>'05 Profitability'!S17</f>
        <v>207296487.602269</v>
      </c>
      <c r="G22" s="23" t="str">
        <f t="shared" si="0"/>
        <v>Break-even achieved</v>
      </c>
    </row>
    <row r="23" spans="1:7">
      <c r="A23" t="s">
        <v>171</v>
      </c>
      <c r="B23" s="10">
        <f>'05 Profitability'!T6</f>
        <v>48263870.7819559</v>
      </c>
      <c r="C23" s="10">
        <f>'04 Cost Forecast'!T19</f>
        <v>15075484.7979327</v>
      </c>
      <c r="D23" s="10">
        <f>'05 Profitability'!T11</f>
        <v>33188385.9840231</v>
      </c>
      <c r="E23" s="10">
        <f>'05 Profitability'!T18</f>
        <v>230484873.586293</v>
      </c>
      <c r="F23" s="10">
        <f>'05 Profitability'!T17</f>
        <v>240484873.586293</v>
      </c>
      <c r="G23" s="23" t="str">
        <f t="shared" si="0"/>
        <v>Break-even achieved</v>
      </c>
    </row>
    <row r="24" spans="1:7">
      <c r="A24" t="s">
        <v>172</v>
      </c>
      <c r="B24" s="10">
        <f>'05 Profitability'!U6</f>
        <v>52015243.0389759</v>
      </c>
      <c r="C24" s="10">
        <f>'04 Cost Forecast'!U19</f>
        <v>15612996.509404</v>
      </c>
      <c r="D24" s="10">
        <f>'05 Profitability'!U11</f>
        <v>36402246.5295719</v>
      </c>
      <c r="E24" s="10">
        <f>'05 Profitability'!U18</f>
        <v>266887120.115865</v>
      </c>
      <c r="F24" s="10">
        <f>'05 Profitability'!U17</f>
        <v>276887120.115865</v>
      </c>
      <c r="G24" s="23" t="str">
        <f t="shared" si="0"/>
        <v>Break-even achieved</v>
      </c>
    </row>
    <row r="25" spans="1:7">
      <c r="A25" t="s">
        <v>173</v>
      </c>
      <c r="B25" s="10">
        <f>'05 Profitability'!V6</f>
        <v>55990215.1450002</v>
      </c>
      <c r="C25" s="10">
        <f>'04 Cost Forecast'!V19</f>
        <v>16187072.6515062</v>
      </c>
      <c r="D25" s="10">
        <f>'05 Profitability'!V11</f>
        <v>39803142.4934941</v>
      </c>
      <c r="E25" s="10">
        <f>'05 Profitability'!V18</f>
        <v>306690262.609359</v>
      </c>
      <c r="F25" s="10">
        <f>'05 Profitability'!V17</f>
        <v>316690262.609359</v>
      </c>
      <c r="G25" s="23" t="str">
        <f t="shared" si="0"/>
        <v>Break-even achieved</v>
      </c>
    </row>
    <row r="26" spans="1:7">
      <c r="A26" t="s">
        <v>174</v>
      </c>
      <c r="B26" s="10">
        <f>'05 Profitability'!W6</f>
        <v>60205743.6911639</v>
      </c>
      <c r="C26" s="10">
        <f>'04 Cost Forecast'!W19</f>
        <v>16800580.7196967</v>
      </c>
      <c r="D26" s="10">
        <f>'05 Profitability'!W11</f>
        <v>43405162.9714672</v>
      </c>
      <c r="E26" s="10">
        <f>'05 Profitability'!W18</f>
        <v>350095425.580826</v>
      </c>
      <c r="F26" s="10">
        <f>'05 Profitability'!W17</f>
        <v>360095425.580826</v>
      </c>
      <c r="G26" s="23" t="str">
        <f t="shared" si="0"/>
        <v>Break-even achieved</v>
      </c>
    </row>
    <row r="27" spans="1:7">
      <c r="A27" t="s">
        <v>175</v>
      </c>
      <c r="B27" s="10">
        <f>'05 Profitability'!X6</f>
        <v>64680027.398488</v>
      </c>
      <c r="C27" s="10">
        <f>'04 Cost Forecast'!X19</f>
        <v>17456612.8943016</v>
      </c>
      <c r="D27" s="10">
        <f>'05 Profitability'!X11</f>
        <v>47223414.5041864</v>
      </c>
      <c r="E27" s="10">
        <f>'05 Profitability'!X18</f>
        <v>397318840.085012</v>
      </c>
      <c r="F27" s="10">
        <f>'05 Profitability'!X17</f>
        <v>407318840.085012</v>
      </c>
      <c r="G27" s="23" t="str">
        <f t="shared" si="0"/>
        <v>Break-even achieved</v>
      </c>
    </row>
    <row r="28" spans="1:7">
      <c r="A28" t="s">
        <v>176</v>
      </c>
      <c r="B28" s="10">
        <f>'05 Profitability'!Y6</f>
        <v>69432603.7482409</v>
      </c>
      <c r="C28" s="10">
        <f>'04 Cost Forecast'!Y19</f>
        <v>18158504.3986223</v>
      </c>
      <c r="D28" s="10">
        <f>'05 Profitability'!Y11</f>
        <v>51274099.3496186</v>
      </c>
      <c r="E28" s="10">
        <f>'05 Profitability'!Y18</f>
        <v>448592939.434631</v>
      </c>
      <c r="F28" s="10">
        <f>'05 Profitability'!Y17</f>
        <v>458592939.434631</v>
      </c>
      <c r="G28" s="23" t="str">
        <f t="shared" si="0"/>
        <v>Break-even achieved</v>
      </c>
    </row>
    <row r="29" spans="1:7">
      <c r="A29" t="s">
        <v>177</v>
      </c>
      <c r="B29" s="10">
        <f>'05 Profitability'!Z6</f>
        <v>74484453.264806</v>
      </c>
      <c r="C29" s="10">
        <f>'04 Cost Forecast'!Z19</f>
        <v>18909853.3837887</v>
      </c>
      <c r="D29" s="10">
        <f>'05 Profitability'!Z11</f>
        <v>55574599.8810173</v>
      </c>
      <c r="E29" s="10">
        <f>'05 Profitability'!Z18</f>
        <v>504167539.315648</v>
      </c>
      <c r="F29" s="10">
        <f>'05 Profitability'!Z17</f>
        <v>514167539.315648</v>
      </c>
      <c r="G29" s="23" t="str">
        <f t="shared" si="0"/>
        <v>Break-even achieved</v>
      </c>
    </row>
    <row r="30" spans="1:7">
      <c r="A30" t="s">
        <v>178</v>
      </c>
      <c r="B30" s="10">
        <f>'05 Profitability'!AA6</f>
        <v>79858112.0796496</v>
      </c>
      <c r="C30" s="10">
        <f>'04 Cost Forecast'!AA19</f>
        <v>19714542.470369</v>
      </c>
      <c r="D30" s="10">
        <f>'05 Profitability'!AA11</f>
        <v>60143569.6092805</v>
      </c>
      <c r="E30" s="10">
        <f>'05 Profitability'!AA18</f>
        <v>564311108.924929</v>
      </c>
      <c r="F30" s="10">
        <f>'05 Profitability'!AA17</f>
        <v>574311108.924929</v>
      </c>
      <c r="G30" s="23" t="str">
        <f t="shared" si="0"/>
        <v>Break-even achieved</v>
      </c>
    </row>
    <row r="31" spans="1:7">
      <c r="A31" t="s">
        <v>179</v>
      </c>
      <c r="B31" s="10">
        <f>'05 Profitability'!AB6</f>
        <v>85577793.4579462</v>
      </c>
      <c r="C31" s="10">
        <f>'04 Cost Forecast'!AB19</f>
        <v>20576762.0880046</v>
      </c>
      <c r="D31" s="10">
        <f>'05 Profitability'!AB11</f>
        <v>65001031.3699417</v>
      </c>
      <c r="E31" s="10">
        <f>'05 Profitability'!AB18</f>
        <v>629312140.29487</v>
      </c>
      <c r="F31" s="10">
        <f>'05 Profitability'!AB17</f>
        <v>639312140.29487</v>
      </c>
      <c r="G31" s="23" t="str">
        <f t="shared" si="0"/>
        <v>Break-even achieved</v>
      </c>
    </row>
    <row r="32" spans="1:7">
      <c r="A32" t="s">
        <v>180</v>
      </c>
      <c r="B32" s="10">
        <f>'05 Profitability'!AC6</f>
        <v>91669519.0269621</v>
      </c>
      <c r="C32" s="10">
        <f>'04 Cost Forecast'!AC19</f>
        <v>21501035.7665765</v>
      </c>
      <c r="D32" s="10">
        <f>'05 Profitability'!AC11</f>
        <v>70168483.2603856</v>
      </c>
      <c r="E32" s="10">
        <f>'05 Profitability'!AC18</f>
        <v>699480623.555256</v>
      </c>
      <c r="F32" s="10">
        <f>'05 Profitability'!AC17</f>
        <v>709480623.555256</v>
      </c>
      <c r="G32" s="23" t="str">
        <f t="shared" si="0"/>
        <v>Break-even achieved</v>
      </c>
    </row>
    <row r="33" spans="1:7">
      <c r="A33" t="s">
        <v>181</v>
      </c>
      <c r="B33" s="10">
        <f>'05 Profitability'!AD6</f>
        <v>98161260.5078231</v>
      </c>
      <c r="C33" s="10">
        <f>'04 Cost Forecast'!AD19</f>
        <v>22492247.5457375</v>
      </c>
      <c r="D33" s="10">
        <f>'05 Profitability'!AD11</f>
        <v>75669012.9620856</v>
      </c>
      <c r="E33" s="10">
        <f>'05 Profitability'!AD18</f>
        <v>775149636.517341</v>
      </c>
      <c r="F33" s="10">
        <f>'05 Profitability'!AD17</f>
        <v>785149636.517341</v>
      </c>
      <c r="G33" s="23" t="str">
        <f t="shared" si="0"/>
        <v>Break-even achieved</v>
      </c>
    </row>
    <row r="34" spans="1:7">
      <c r="A34" t="s">
        <v>182</v>
      </c>
      <c r="B34" s="10">
        <f>'05 Profitability'!AE6</f>
        <v>105083092.820244</v>
      </c>
      <c r="C34" s="10">
        <f>'04 Cost Forecast'!AE19</f>
        <v>23555671.6841295</v>
      </c>
      <c r="D34" s="10">
        <f>'05 Profitability'!AE11</f>
        <v>81527421.1361149</v>
      </c>
      <c r="E34" s="10">
        <f>'05 Profitability'!AE18</f>
        <v>856677057.653456</v>
      </c>
      <c r="F34" s="10">
        <f>'05 Profitability'!AE17</f>
        <v>866677057.653456</v>
      </c>
      <c r="G34" s="23" t="str">
        <f t="shared" si="0"/>
        <v>Break-even achieved</v>
      </c>
    </row>
    <row r="35" spans="1:7">
      <c r="A35" t="s">
        <v>183</v>
      </c>
      <c r="B35" s="10">
        <f>'05 Profitability'!AF6</f>
        <v>112467359.503649</v>
      </c>
      <c r="C35" s="10">
        <f>'04 Cost Forecast'!AF19</f>
        <v>24697004.8653823</v>
      </c>
      <c r="D35" s="10">
        <f>'05 Profitability'!AF11</f>
        <v>87770354.6382663</v>
      </c>
      <c r="E35" s="10">
        <f>'05 Profitability'!AF18</f>
        <v>944447412.291723</v>
      </c>
      <c r="F35" s="10">
        <f>'05 Profitability'!AF17</f>
        <v>954447412.291723</v>
      </c>
      <c r="G35" s="23" t="str">
        <f t="shared" si="0"/>
        <v>Break-even achieved</v>
      </c>
    </row>
    <row r="36" spans="1:7">
      <c r="A36" t="s">
        <v>184</v>
      </c>
      <c r="B36" s="10">
        <f>'05 Profitability'!AG6</f>
        <v>120348851.47838</v>
      </c>
      <c r="C36" s="10">
        <f>'04 Cost Forecast'!AG19</f>
        <v>25922401.1151451</v>
      </c>
      <c r="D36" s="10">
        <f>'05 Profitability'!AG11</f>
        <v>94426450.3632352</v>
      </c>
      <c r="E36" s="10">
        <f>'05 Profitability'!AG18</f>
        <v>1038873862.65496</v>
      </c>
      <c r="F36" s="10">
        <f>'05 Profitability'!AG17</f>
        <v>1048873862.65496</v>
      </c>
      <c r="G36" s="23" t="str">
        <f t="shared" si="0"/>
        <v>Break-even achieved</v>
      </c>
    </row>
    <row r="37" spans="1:7">
      <c r="A37" t="s">
        <v>185</v>
      </c>
      <c r="B37" s="10">
        <f>'05 Profitability'!AH6</f>
        <v>128765000.257996</v>
      </c>
      <c r="C37" s="10">
        <f>'04 Cost Forecast'!AH19</f>
        <v>27238509.66208</v>
      </c>
      <c r="D37" s="10">
        <f>'05 Profitability'!AH11</f>
        <v>101526490.595916</v>
      </c>
      <c r="E37" s="10">
        <f>'05 Profitability'!AH18</f>
        <v>1140400353.25087</v>
      </c>
      <c r="F37" s="10">
        <f>'05 Profitability'!AH17</f>
        <v>1150400353.25087</v>
      </c>
      <c r="G37" s="23" t="str">
        <f t="shared" si="0"/>
        <v>Break-even achieved</v>
      </c>
    </row>
    <row r="38" spans="1:7">
      <c r="A38" t="s">
        <v>186</v>
      </c>
      <c r="B38" s="10">
        <f>'05 Profitability'!AI6</f>
        <v>137756086.818504</v>
      </c>
      <c r="C38" s="10">
        <f>'04 Cost Forecast'!AI19</f>
        <v>28652515.9960712</v>
      </c>
      <c r="D38" s="10">
        <f>'05 Profitability'!AI11</f>
        <v>109103570.822433</v>
      </c>
      <c r="E38" s="10">
        <f>'05 Profitability'!AI18</f>
        <v>1249503924.07331</v>
      </c>
      <c r="F38" s="10">
        <f>'05 Profitability'!AI17</f>
        <v>1259503924.07331</v>
      </c>
      <c r="G38" s="23" t="str">
        <f t="shared" si="0"/>
        <v>Break-even achieved</v>
      </c>
    </row>
    <row r="39" spans="1:7">
      <c r="A39" t="s">
        <v>187</v>
      </c>
      <c r="B39" s="10">
        <f>'05 Profitability'!AJ6</f>
        <v>147365467.433608</v>
      </c>
      <c r="C39" s="10">
        <f>'04 Cost Forecast'!AJ19</f>
        <v>30172186.3990244</v>
      </c>
      <c r="D39" s="10">
        <f>'05 Profitability'!AJ11</f>
        <v>117193281.034584</v>
      </c>
      <c r="E39" s="10">
        <f>'05 Profitability'!AJ18</f>
        <v>1366697205.10789</v>
      </c>
      <c r="F39" s="10">
        <f>'05 Profitability'!AJ17</f>
        <v>1376697205.10789</v>
      </c>
      <c r="G39" s="23" t="str">
        <f t="shared" si="0"/>
        <v>Break-even achieved</v>
      </c>
    </row>
    <row r="40" spans="1:7">
      <c r="A40" t="s">
        <v>188</v>
      </c>
      <c r="B40" s="10">
        <f>'05 Profitability'!AK6</f>
        <v>157639817.897244</v>
      </c>
      <c r="C40" s="10">
        <f>'04 Cost Forecast'!AK19</f>
        <v>31805916.24771</v>
      </c>
      <c r="D40" s="10">
        <f>'05 Profitability'!AK11</f>
        <v>125833901.649534</v>
      </c>
      <c r="E40" s="10">
        <f>'05 Profitability'!AK18</f>
        <v>1492531106.75742</v>
      </c>
      <c r="F40" s="10">
        <f>'05 Profitability'!AK17</f>
        <v>1502531106.75742</v>
      </c>
      <c r="G40" s="23" t="str">
        <f t="shared" si="0"/>
        <v>Break-even achieved</v>
      </c>
    </row>
  </sheetData>
  <mergeCells count="2">
    <mergeCell ref="A1:G1"/>
    <mergeCell ref="A2:G2"/>
  </mergeCells>
  <conditionalFormatting sqref="G5:G40">
    <cfRule type="expression" dxfId="1" priority="1">
      <formula>$G5="Break-even achieved"</formula>
    </cfRule>
    <cfRule type="expression" dxfId="2" priority="2">
      <formula>$G5="Not yet"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G1" workbookViewId="0">
      <selection activeCell="L5" sqref="L5"/>
    </sheetView>
  </sheetViews>
  <sheetFormatPr defaultColWidth="9" defaultRowHeight="14" outlineLevelRow="6"/>
  <cols>
    <col min="1" max="1" width="18" customWidth="1"/>
    <col min="2" max="5" width="15" customWidth="1"/>
    <col min="6" max="9" width="18" customWidth="1"/>
    <col min="10" max="10" width="16" customWidth="1"/>
    <col min="11" max="11" width="58" customWidth="1"/>
  </cols>
  <sheetData>
    <row r="1" ht="30" customHeight="1" spans="1:11">
      <c r="A1" s="1" t="s">
        <v>287</v>
      </c>
    </row>
    <row r="2" ht="30" customHeight="1" spans="1:11">
      <c r="A2" s="2" t="s">
        <v>288</v>
      </c>
    </row>
    <row r="4" ht="28" spans="1:11">
      <c r="A4" s="3" t="s">
        <v>289</v>
      </c>
      <c r="B4" s="3" t="s">
        <v>290</v>
      </c>
      <c r="C4" s="3" t="s">
        <v>291</v>
      </c>
      <c r="D4" s="3" t="s">
        <v>292</v>
      </c>
      <c r="E4" s="3" t="s">
        <v>277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</row>
    <row r="5" spans="1:11">
      <c r="A5" s="4" t="s">
        <v>45</v>
      </c>
      <c r="B5" s="7">
        <f>'01 Assumptions'!B8</f>
        <v>0.06</v>
      </c>
      <c r="C5" s="7">
        <f>'01 Assumptions'!B9</f>
        <v>0.018</v>
      </c>
      <c r="D5" s="7">
        <f>'01 Assumptions'!B10</f>
        <v>0.055</v>
      </c>
      <c r="E5" s="6">
        <f>'01 Assumptions'!B11</f>
        <v>1800</v>
      </c>
      <c r="F5" s="5">
        <f>'01 Assumptions'!B6*(1+B5)^36</f>
        <v>40736.2599992554</v>
      </c>
      <c r="G5" s="5">
        <f>'01 Assumptions'!B7*(1-D5)^36+(F5*C5)</f>
        <v>752.824732186898</v>
      </c>
      <c r="H5" s="6">
        <f>G5*E5+('01 Assumptions'!B13*(1+'01 Assumptions'!B14)^36*'01 Assumptions'!B15*'01 Assumptions'!B16*'01 Assumptions'!B17)</f>
        <v>1749062.04311854</v>
      </c>
      <c r="I5" s="6">
        <f>H5*0.25</f>
        <v>437265.510779634</v>
      </c>
      <c r="J5" s="22" t="str">
        <f>IF(C5&lt;0.025,"Weak",IF(C5&lt;0.05,"Developing","Strong"))</f>
        <v>Weak</v>
      </c>
      <c r="K5" s="4" t="s">
        <v>299</v>
      </c>
    </row>
    <row r="6" spans="1:11">
      <c r="A6" s="4" t="s">
        <v>46</v>
      </c>
      <c r="B6" s="7">
        <f>'01 Assumptions'!C8</f>
        <v>0.1</v>
      </c>
      <c r="C6" s="7">
        <f>'01 Assumptions'!C9</f>
        <v>0.035</v>
      </c>
      <c r="D6" s="7">
        <f>'01 Assumptions'!C10</f>
        <v>0.035</v>
      </c>
      <c r="E6" s="6">
        <f>'01 Assumptions'!C11</f>
        <v>2800</v>
      </c>
      <c r="F6" s="5">
        <f>'01 Assumptions'!C6*(1+B6)^36</f>
        <v>309126.805328708</v>
      </c>
      <c r="G6" s="5">
        <f>'01 Assumptions'!C7*(1-D6)^36+(F6*C6)</f>
        <v>10916.5006533503</v>
      </c>
      <c r="H6" s="6">
        <f>G6*E6+('01 Assumptions'!C13*(1+'01 Assumptions'!C14)^36*'01 Assumptions'!C15*'01 Assumptions'!C16*'01 Assumptions'!C17)</f>
        <v>58602745.3686711</v>
      </c>
      <c r="I6" s="6">
        <f>H6*0.25</f>
        <v>14650686.3421678</v>
      </c>
      <c r="J6" s="22" t="str">
        <f>IF(C6&lt;0.025,"Weak",IF(C6&lt;0.05,"Developing","Strong"))</f>
        <v>Developing</v>
      </c>
      <c r="K6" s="4" t="s">
        <v>300</v>
      </c>
    </row>
    <row r="7" ht="28" spans="1:11">
      <c r="A7" s="4" t="s">
        <v>47</v>
      </c>
      <c r="B7" s="7">
        <f>'01 Assumptions'!D8</f>
        <v>0.16</v>
      </c>
      <c r="C7" s="7">
        <f>'01 Assumptions'!D9</f>
        <v>0.06</v>
      </c>
      <c r="D7" s="7">
        <f>'01 Assumptions'!D10</f>
        <v>0.022</v>
      </c>
      <c r="E7" s="6">
        <f>'01 Assumptions'!D11</f>
        <v>4200</v>
      </c>
      <c r="F7" s="5">
        <f>'01 Assumptions'!D6*(1+B7)^36</f>
        <v>4183286.48829431</v>
      </c>
      <c r="G7" s="5">
        <f>'01 Assumptions'!D7*(1-D7)^36+(F7*C7)</f>
        <v>251333.90241516</v>
      </c>
      <c r="H7" s="6">
        <f>G7*E7+('01 Assumptions'!D13*(1+'01 Assumptions'!D14)^36*'01 Assumptions'!D15*'01 Assumptions'!D16*'01 Assumptions'!D17)</f>
        <v>2606264890.99315</v>
      </c>
      <c r="I7" s="6">
        <f>H7*0.25</f>
        <v>651566222.748288</v>
      </c>
      <c r="J7" s="22" t="str">
        <f>IF(C7&lt;0.025,"Weak",IF(C7&lt;0.05,"Developing","Strong"))</f>
        <v>Strong</v>
      </c>
      <c r="K7" s="4" t="s">
        <v>301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8" sqref="A8"/>
    </sheetView>
  </sheetViews>
  <sheetFormatPr defaultColWidth="9" defaultRowHeight="14" outlineLevelCol="7"/>
  <cols>
    <col min="1" max="1" width="18" customWidth="1"/>
    <col min="2" max="2" width="16" customWidth="1"/>
    <col min="3" max="3" width="44" customWidth="1"/>
    <col min="4" max="6" width="18" customWidth="1"/>
    <col min="7" max="7" width="15" customWidth="1"/>
    <col min="8" max="8" width="18" customWidth="1"/>
  </cols>
  <sheetData>
    <row r="1" ht="30" customHeight="1" spans="1:8">
      <c r="A1" s="1" t="s">
        <v>302</v>
      </c>
    </row>
    <row r="2" ht="30" customHeight="1" spans="1:8">
      <c r="A2" s="2" t="s">
        <v>303</v>
      </c>
    </row>
    <row r="4" spans="1:8">
      <c r="A4" s="3" t="s">
        <v>304</v>
      </c>
      <c r="B4" s="3" t="s">
        <v>305</v>
      </c>
      <c r="C4" s="3" t="s">
        <v>306</v>
      </c>
      <c r="D4" s="3" t="s">
        <v>307</v>
      </c>
      <c r="E4" s="3" t="s">
        <v>308</v>
      </c>
      <c r="F4" s="3" t="s">
        <v>309</v>
      </c>
      <c r="G4" s="3" t="s">
        <v>252</v>
      </c>
      <c r="H4" s="3" t="s">
        <v>237</v>
      </c>
    </row>
    <row r="5" spans="1:8">
      <c r="A5" t="s">
        <v>310</v>
      </c>
      <c r="B5" s="12">
        <v>0</v>
      </c>
      <c r="C5" t="s">
        <v>311</v>
      </c>
      <c r="D5" s="11">
        <v>10000</v>
      </c>
      <c r="E5" s="11">
        <v>1</v>
      </c>
      <c r="F5" s="10">
        <f>B5*D5</f>
        <v>0</v>
      </c>
      <c r="G5" s="13">
        <v>0.25</v>
      </c>
      <c r="H5" s="10">
        <f>F5*(1-G5)</f>
        <v>0</v>
      </c>
    </row>
    <row r="6" spans="1:8">
      <c r="A6" t="s">
        <v>312</v>
      </c>
      <c r="B6" s="12">
        <v>2500</v>
      </c>
      <c r="C6" t="s">
        <v>313</v>
      </c>
      <c r="D6" s="11">
        <v>800</v>
      </c>
      <c r="E6" s="11">
        <v>1</v>
      </c>
      <c r="F6" s="10">
        <f>B6*D6</f>
        <v>2000000</v>
      </c>
      <c r="G6" s="13">
        <v>0.18</v>
      </c>
      <c r="H6" s="10">
        <f>F6*(1-G6)</f>
        <v>1640000</v>
      </c>
    </row>
    <row r="7" spans="1:8">
      <c r="A7" t="s">
        <v>314</v>
      </c>
      <c r="B7" s="12">
        <v>12000</v>
      </c>
      <c r="C7" t="s">
        <v>315</v>
      </c>
      <c r="D7" s="11">
        <v>200</v>
      </c>
      <c r="E7" s="11">
        <v>4</v>
      </c>
      <c r="F7" s="10">
        <f>B7*D7</f>
        <v>2400000</v>
      </c>
      <c r="G7" s="13">
        <v>0.15</v>
      </c>
      <c r="H7" s="10">
        <f>F7*(1-G7)</f>
        <v>2040000</v>
      </c>
    </row>
    <row r="8" spans="1:8">
      <c r="A8" t="s">
        <v>265</v>
      </c>
      <c r="B8" s="12">
        <v>250000</v>
      </c>
      <c r="C8" t="s">
        <v>316</v>
      </c>
      <c r="D8" s="11">
        <v>10</v>
      </c>
      <c r="E8" s="11">
        <v>20</v>
      </c>
      <c r="F8" s="10">
        <f>B8*D8</f>
        <v>2500000</v>
      </c>
      <c r="G8" s="13">
        <v>0.22</v>
      </c>
      <c r="H8" s="10">
        <f>F8*(1-G8)</f>
        <v>1950000</v>
      </c>
    </row>
    <row r="9" spans="1:8">
      <c r="A9" t="s">
        <v>317</v>
      </c>
      <c r="B9" s="12">
        <v>600000</v>
      </c>
      <c r="C9" t="s">
        <v>318</v>
      </c>
      <c r="D9" s="11">
        <v>3</v>
      </c>
      <c r="E9" s="11">
        <v>1</v>
      </c>
      <c r="F9" s="10">
        <f>B9*D9</f>
        <v>1800000</v>
      </c>
      <c r="G9" s="13">
        <v>0.35</v>
      </c>
      <c r="H9" s="10">
        <f>F9*(1-G9)</f>
        <v>1170000</v>
      </c>
    </row>
    <row r="10" spans="1:8">
      <c r="A10" s="15" t="s">
        <v>270</v>
      </c>
      <c r="B10" s="21"/>
      <c r="C10" s="15"/>
      <c r="D10" s="16"/>
      <c r="E10" s="16"/>
      <c r="F10" s="18">
        <f>SUM(F5:F9)</f>
        <v>8700000</v>
      </c>
      <c r="G10" s="19"/>
      <c r="H10" s="18">
        <f>SUM(H5:H9)</f>
        <v>6800000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"/>
    </sheetView>
  </sheetViews>
  <sheetFormatPr defaultColWidth="9" defaultRowHeight="14" outlineLevelCol="7"/>
  <cols>
    <col min="1" max="1" width="28" customWidth="1"/>
    <col min="2" max="2" width="18" customWidth="1"/>
    <col min="3" max="4" width="15" customWidth="1"/>
    <col min="5" max="5" width="18" customWidth="1"/>
    <col min="6" max="6" width="15" customWidth="1"/>
    <col min="7" max="8" width="18" customWidth="1"/>
  </cols>
  <sheetData>
    <row r="1" ht="30" customHeight="1" spans="1:8">
      <c r="A1" s="1" t="s">
        <v>319</v>
      </c>
    </row>
    <row r="2" ht="30" customHeight="1" spans="1:8">
      <c r="A2" s="2" t="s">
        <v>320</v>
      </c>
    </row>
    <row r="4" spans="1:8">
      <c r="A4" s="3" t="s">
        <v>321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237</v>
      </c>
    </row>
    <row r="5" spans="1:8">
      <c r="A5" t="s">
        <v>328</v>
      </c>
      <c r="B5" s="12">
        <v>3500</v>
      </c>
      <c r="C5" s="11">
        <v>150</v>
      </c>
      <c r="D5" s="11">
        <v>10</v>
      </c>
      <c r="E5" s="10">
        <f>B5*C5*D5</f>
        <v>5250000</v>
      </c>
      <c r="F5" s="13">
        <v>0.12</v>
      </c>
      <c r="G5" s="10">
        <f>E5*F5</f>
        <v>630000</v>
      </c>
      <c r="H5" s="10">
        <f>G5*(1-'01 Assumptions'!$E$40)</f>
        <v>428400</v>
      </c>
    </row>
    <row r="6" spans="1:8">
      <c r="A6" t="s">
        <v>329</v>
      </c>
      <c r="B6" s="12">
        <v>7500</v>
      </c>
      <c r="C6" s="11">
        <v>300</v>
      </c>
      <c r="D6" s="11">
        <v>3</v>
      </c>
      <c r="E6" s="10">
        <f>B6*C6*D6</f>
        <v>6750000</v>
      </c>
      <c r="F6" s="13">
        <v>0.12</v>
      </c>
      <c r="G6" s="10">
        <f>E6*F6</f>
        <v>810000</v>
      </c>
      <c r="H6" s="10">
        <f>G6*(1-'01 Assumptions'!$E$40)</f>
        <v>550800</v>
      </c>
    </row>
    <row r="7" spans="1:8">
      <c r="A7" t="s">
        <v>330</v>
      </c>
      <c r="B7" s="12">
        <v>2000</v>
      </c>
      <c r="C7" s="11">
        <v>1000</v>
      </c>
      <c r="D7" s="11">
        <v>2</v>
      </c>
      <c r="E7" s="10">
        <f>B7*C7*D7</f>
        <v>4000000</v>
      </c>
      <c r="F7" s="13">
        <v>0.04</v>
      </c>
      <c r="G7" s="10">
        <f>E7*F7</f>
        <v>160000</v>
      </c>
      <c r="H7" s="10">
        <f>G7*(1-'01 Assumptions'!$E$40)</f>
        <v>108800</v>
      </c>
    </row>
    <row r="8" spans="1:8">
      <c r="A8" t="s">
        <v>331</v>
      </c>
      <c r="B8" s="12">
        <v>5000</v>
      </c>
      <c r="C8" s="11">
        <v>200</v>
      </c>
      <c r="D8" s="11">
        <v>5</v>
      </c>
      <c r="E8" s="10">
        <f>B8*C8*D8</f>
        <v>5000000</v>
      </c>
      <c r="F8" s="13">
        <v>0.12</v>
      </c>
      <c r="G8" s="10">
        <f>E8*F8</f>
        <v>600000</v>
      </c>
      <c r="H8" s="10">
        <f>G8*(1-'01 Assumptions'!$E$40)</f>
        <v>408000</v>
      </c>
    </row>
    <row r="9" spans="1:8">
      <c r="A9" t="s">
        <v>332</v>
      </c>
      <c r="B9" s="12">
        <v>0</v>
      </c>
      <c r="C9" s="11">
        <v>500</v>
      </c>
      <c r="D9" s="11">
        <v>2</v>
      </c>
      <c r="E9" s="10">
        <f>B9*C9*D9</f>
        <v>0</v>
      </c>
      <c r="F9" s="13">
        <v>0</v>
      </c>
      <c r="G9" s="10">
        <f>E9*F9</f>
        <v>0</v>
      </c>
      <c r="H9" s="10">
        <f>G9*(1-'01 Assumptions'!$E$40)</f>
        <v>0</v>
      </c>
    </row>
    <row r="10" spans="1:8">
      <c r="A10" s="15" t="s">
        <v>270</v>
      </c>
      <c r="B10" s="17"/>
      <c r="C10" s="16"/>
      <c r="D10" s="16"/>
      <c r="E10" s="18">
        <f>SUM(E5:E9)</f>
        <v>21000000</v>
      </c>
      <c r="F10" s="19"/>
      <c r="G10" s="18">
        <f>SUM(G5:G9)</f>
        <v>2200000</v>
      </c>
      <c r="H10" s="18">
        <f>SUM(H5:H9)</f>
        <v>1496000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C15" sqref="C15"/>
    </sheetView>
  </sheetViews>
  <sheetFormatPr defaultColWidth="9" defaultRowHeight="14" outlineLevelCol="7"/>
  <cols>
    <col min="1" max="1" width="30" customWidth="1"/>
    <col min="2" max="2" width="16" customWidth="1"/>
    <col min="3" max="4" width="18" customWidth="1"/>
    <col min="5" max="5" width="16" customWidth="1"/>
    <col min="6" max="6" width="18" customWidth="1"/>
    <col min="7" max="7" width="16" customWidth="1"/>
    <col min="8" max="8" width="18" customWidth="1"/>
  </cols>
  <sheetData>
    <row r="1" ht="30" customHeight="1" spans="1:8">
      <c r="A1" s="1" t="s">
        <v>333</v>
      </c>
    </row>
    <row r="2" ht="30" customHeight="1" spans="1:8">
      <c r="A2" s="2" t="s">
        <v>334</v>
      </c>
    </row>
    <row r="4" spans="1:8">
      <c r="A4" s="3" t="s">
        <v>335</v>
      </c>
      <c r="B4" s="3" t="s">
        <v>336</v>
      </c>
      <c r="C4" s="3" t="s">
        <v>337</v>
      </c>
      <c r="D4" s="3" t="s">
        <v>325</v>
      </c>
      <c r="E4" s="3" t="s">
        <v>338</v>
      </c>
      <c r="F4" s="3" t="s">
        <v>327</v>
      </c>
      <c r="G4" s="3" t="s">
        <v>252</v>
      </c>
      <c r="H4" s="3" t="s">
        <v>237</v>
      </c>
    </row>
    <row r="5" spans="1:8">
      <c r="A5" t="s">
        <v>339</v>
      </c>
      <c r="B5" s="12">
        <v>2000</v>
      </c>
      <c r="C5" s="11">
        <v>500</v>
      </c>
      <c r="D5" s="10">
        <f>B5*C5</f>
        <v>1000000</v>
      </c>
      <c r="E5" s="13">
        <v>0.4</v>
      </c>
      <c r="F5" s="10">
        <f>D5*E5</f>
        <v>400000</v>
      </c>
      <c r="G5" s="14">
        <v>0.18</v>
      </c>
      <c r="H5" s="10">
        <f>F5*(1-G5)</f>
        <v>328000</v>
      </c>
    </row>
    <row r="6" spans="1:8">
      <c r="A6" t="s">
        <v>340</v>
      </c>
      <c r="B6" s="12">
        <v>8000</v>
      </c>
      <c r="C6" s="11">
        <v>120</v>
      </c>
      <c r="D6" s="10">
        <f>B6*C6</f>
        <v>960000</v>
      </c>
      <c r="E6" s="13">
        <v>0.45</v>
      </c>
      <c r="F6" s="10">
        <f>D6*E6</f>
        <v>432000</v>
      </c>
      <c r="G6" s="14">
        <v>0.16</v>
      </c>
      <c r="H6" s="10">
        <f>F6*(1-G6)</f>
        <v>362880</v>
      </c>
    </row>
    <row r="7" spans="1:8">
      <c r="A7" t="s">
        <v>341</v>
      </c>
      <c r="B7" s="12">
        <v>5000</v>
      </c>
      <c r="C7" s="11">
        <v>250</v>
      </c>
      <c r="D7" s="10">
        <f>B7*C7</f>
        <v>1250000</v>
      </c>
      <c r="E7" s="13">
        <v>0.5</v>
      </c>
      <c r="F7" s="10">
        <f>D7*E7</f>
        <v>625000</v>
      </c>
      <c r="G7" s="14">
        <v>0.14</v>
      </c>
      <c r="H7" s="10">
        <f>F7*(1-G7)</f>
        <v>537500</v>
      </c>
    </row>
    <row r="8" spans="1:8">
      <c r="A8" t="s">
        <v>342</v>
      </c>
      <c r="B8" s="12">
        <v>50000</v>
      </c>
      <c r="C8" s="11">
        <v>25</v>
      </c>
      <c r="D8" s="10">
        <f>B8*C8</f>
        <v>1250000</v>
      </c>
      <c r="E8" s="13">
        <v>0.6</v>
      </c>
      <c r="F8" s="10">
        <f>D8*E8</f>
        <v>750000</v>
      </c>
      <c r="G8" s="14">
        <v>0.22</v>
      </c>
      <c r="H8" s="10">
        <f>F8*(1-G8)</f>
        <v>585000</v>
      </c>
    </row>
    <row r="9" spans="1:8">
      <c r="A9" s="15" t="s">
        <v>270</v>
      </c>
      <c r="B9" s="17"/>
      <c r="C9" s="16"/>
      <c r="D9" s="18">
        <f>SUM(D5:D8)</f>
        <v>4460000</v>
      </c>
      <c r="E9" s="19"/>
      <c r="F9" s="18">
        <f>SUM(F5:F8)</f>
        <v>2207000</v>
      </c>
      <c r="G9" s="20"/>
      <c r="H9" s="18">
        <f>SUM(H5:H8)</f>
        <v>1813380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"/>
    </sheetView>
  </sheetViews>
  <sheetFormatPr defaultColWidth="9" defaultRowHeight="14" outlineLevelCol="7"/>
  <cols>
    <col min="1" max="1" width="34" customWidth="1"/>
    <col min="2" max="2" width="13" customWidth="1"/>
    <col min="3" max="3" width="22" customWidth="1"/>
    <col min="4" max="4" width="18" customWidth="1"/>
    <col min="5" max="5" width="15" customWidth="1"/>
    <col min="6" max="6" width="18" customWidth="1"/>
    <col min="7" max="7" width="15" customWidth="1"/>
    <col min="8" max="8" width="18" customWidth="1"/>
  </cols>
  <sheetData>
    <row r="1" ht="30" customHeight="1" spans="1:8">
      <c r="A1" s="1" t="s">
        <v>343</v>
      </c>
    </row>
    <row r="2" ht="30" customHeight="1" spans="1:8">
      <c r="A2" s="2" t="s">
        <v>344</v>
      </c>
    </row>
    <row r="4" ht="28" spans="1:8">
      <c r="A4" s="3" t="s">
        <v>345</v>
      </c>
      <c r="B4" s="3" t="s">
        <v>99</v>
      </c>
      <c r="C4" s="3" t="s">
        <v>346</v>
      </c>
      <c r="D4" s="3" t="s">
        <v>309</v>
      </c>
      <c r="E4" s="3" t="s">
        <v>252</v>
      </c>
      <c r="F4" s="3" t="s">
        <v>237</v>
      </c>
      <c r="G4" s="3" t="s">
        <v>347</v>
      </c>
      <c r="H4" s="3" t="s">
        <v>348</v>
      </c>
    </row>
    <row r="5" spans="1:8">
      <c r="A5" t="s">
        <v>203</v>
      </c>
      <c r="B5" s="11">
        <v>10</v>
      </c>
      <c r="C5" s="12">
        <v>300000</v>
      </c>
      <c r="D5" s="10">
        <f>B5*C5</f>
        <v>3000000</v>
      </c>
      <c r="E5" s="13">
        <v>0.22</v>
      </c>
      <c r="F5" s="10">
        <f>D5*(1-E5)</f>
        <v>2340000</v>
      </c>
      <c r="G5" s="14">
        <v>0</v>
      </c>
      <c r="H5" s="10">
        <f>F5*(1-G5)</f>
        <v>2340000</v>
      </c>
    </row>
    <row r="6" spans="1:8">
      <c r="A6" t="s">
        <v>349</v>
      </c>
      <c r="B6" s="11">
        <v>3</v>
      </c>
      <c r="C6" s="12">
        <v>800000</v>
      </c>
      <c r="D6" s="10">
        <f>B6*C6</f>
        <v>2400000</v>
      </c>
      <c r="E6" s="13">
        <v>0.3</v>
      </c>
      <c r="F6" s="10">
        <f>D6*(1-E6)</f>
        <v>1680000</v>
      </c>
      <c r="G6" s="14">
        <v>0</v>
      </c>
      <c r="H6" s="10">
        <f>F6*(1-G6)</f>
        <v>1680000</v>
      </c>
    </row>
    <row r="7" spans="1:8">
      <c r="A7" t="s">
        <v>350</v>
      </c>
      <c r="B7" s="11">
        <v>8</v>
      </c>
      <c r="C7" s="12">
        <v>180000</v>
      </c>
      <c r="D7" s="10">
        <f>B7*C7</f>
        <v>1440000</v>
      </c>
      <c r="E7" s="13">
        <v>0.38</v>
      </c>
      <c r="F7" s="10">
        <f>D7*(1-E7)</f>
        <v>892800</v>
      </c>
      <c r="G7" s="14">
        <v>0</v>
      </c>
      <c r="H7" s="10">
        <f>F7*(1-G7)</f>
        <v>892800</v>
      </c>
    </row>
    <row r="8" spans="1:8">
      <c r="A8" t="s">
        <v>351</v>
      </c>
      <c r="B8" s="11">
        <v>200</v>
      </c>
      <c r="C8" s="12">
        <v>15000</v>
      </c>
      <c r="D8" s="10">
        <f>B8*C8</f>
        <v>3000000</v>
      </c>
      <c r="E8" s="13">
        <v>0.15</v>
      </c>
      <c r="F8" s="10">
        <f>D8*(1-E8)</f>
        <v>2550000</v>
      </c>
      <c r="G8" s="14">
        <v>0.15</v>
      </c>
      <c r="H8" s="10">
        <f>F8*(1-G8)</f>
        <v>2167500</v>
      </c>
    </row>
    <row r="9" spans="1:8">
      <c r="A9" t="s">
        <v>352</v>
      </c>
      <c r="B9" s="11">
        <v>50</v>
      </c>
      <c r="C9" s="12">
        <v>60000</v>
      </c>
      <c r="D9" s="10">
        <f>B9*C9</f>
        <v>3000000</v>
      </c>
      <c r="E9" s="13">
        <v>0.32</v>
      </c>
      <c r="F9" s="10">
        <f>D9*(1-E9)</f>
        <v>2040000</v>
      </c>
      <c r="G9" s="14">
        <v>0.2</v>
      </c>
      <c r="H9" s="10">
        <f>F9*(1-G9)</f>
        <v>1632000</v>
      </c>
    </row>
    <row r="10" spans="1:8">
      <c r="A10" s="15" t="s">
        <v>270</v>
      </c>
      <c r="B10" s="16"/>
      <c r="C10" s="17"/>
      <c r="D10" s="18">
        <f>SUM(D5:D9)</f>
        <v>12840000</v>
      </c>
      <c r="E10" s="19"/>
      <c r="F10" s="18">
        <f>SUM(F5:F9)</f>
        <v>9502800</v>
      </c>
      <c r="G10" s="20"/>
      <c r="H10" s="18">
        <f>SUM(H5:H9)</f>
        <v>8712300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workbookViewId="0">
      <selection activeCell="A1" sqref="A1:L1"/>
    </sheetView>
  </sheetViews>
  <sheetFormatPr defaultColWidth="9" defaultRowHeight="14"/>
  <cols>
    <col min="1" max="1" width="28" customWidth="1"/>
    <col min="2" max="2" width="22" customWidth="1"/>
    <col min="3" max="3" width="48" customWidth="1"/>
    <col min="5" max="5" width="16" customWidth="1"/>
    <col min="6" max="7" width="18" customWidth="1"/>
  </cols>
  <sheetData>
    <row r="1" ht="30" customHeight="1" spans="1:3">
      <c r="A1" s="1" t="s">
        <v>353</v>
      </c>
    </row>
    <row r="2" ht="30" customHeight="1" spans="1:3">
      <c r="A2" s="2" t="s">
        <v>354</v>
      </c>
    </row>
    <row r="4" spans="1:3">
      <c r="A4" s="3" t="s">
        <v>355</v>
      </c>
      <c r="B4" s="3" t="s">
        <v>356</v>
      </c>
      <c r="C4" s="3" t="s">
        <v>357</v>
      </c>
    </row>
    <row r="5" spans="1:3">
      <c r="A5" s="4" t="s">
        <v>358</v>
      </c>
      <c r="B5" s="5">
        <f>'02 User Forecast'!AK9</f>
        <v>96513.0143328027</v>
      </c>
      <c r="C5" s="4" t="s">
        <v>359</v>
      </c>
    </row>
    <row r="6" spans="1:3">
      <c r="A6" s="4" t="s">
        <v>276</v>
      </c>
      <c r="B6" s="5">
        <f>'02 User Forecast'!AK12</f>
        <v>32905.9928148714</v>
      </c>
      <c r="C6" s="4" t="s">
        <v>360</v>
      </c>
    </row>
    <row r="7" spans="1:3">
      <c r="A7" s="4" t="s">
        <v>361</v>
      </c>
      <c r="B7" s="6">
        <f>'03 Revenue Forecast'!AK17</f>
        <v>157639817.897244</v>
      </c>
      <c r="C7" s="4" t="s">
        <v>362</v>
      </c>
    </row>
    <row r="8" spans="1:3">
      <c r="A8" s="4" t="s">
        <v>363</v>
      </c>
      <c r="B8" s="6">
        <f>'03 Revenue Forecast'!AK17*12</f>
        <v>1891677814.76693</v>
      </c>
      <c r="C8" s="4" t="s">
        <v>364</v>
      </c>
    </row>
    <row r="9" spans="1:3">
      <c r="A9" s="4" t="s">
        <v>238</v>
      </c>
      <c r="B9" s="7">
        <f>'05 Profitability'!AK9</f>
        <v>0.866732412680265</v>
      </c>
      <c r="C9" s="4" t="s">
        <v>365</v>
      </c>
    </row>
    <row r="10" spans="1:3">
      <c r="A10" s="4" t="s">
        <v>241</v>
      </c>
      <c r="B10" s="7">
        <f>'05 Profitability'!AK12</f>
        <v>0.798236786416219</v>
      </c>
      <c r="C10" s="4" t="s">
        <v>366</v>
      </c>
    </row>
    <row r="11" spans="1:3">
      <c r="A11" s="4" t="s">
        <v>246</v>
      </c>
      <c r="B11" s="6">
        <f>'05 Profitability'!AK17</f>
        <v>1502531106.75742</v>
      </c>
      <c r="C11" s="4" t="s">
        <v>367</v>
      </c>
    </row>
    <row r="12" spans="1:3">
      <c r="A12" s="4" t="s">
        <v>368</v>
      </c>
      <c r="B12" s="6">
        <f>SUM('03 Revenue Forecast'!B17:AK17)</f>
        <v>2095506544.34219</v>
      </c>
      <c r="C12" s="4" t="s">
        <v>369</v>
      </c>
    </row>
    <row r="13" spans="1:3">
      <c r="A13" s="4" t="s">
        <v>370</v>
      </c>
      <c r="B13" s="6">
        <f>SUM('05 Profitability'!B11:AK11)</f>
        <v>1492531106.75742</v>
      </c>
      <c r="C13" s="4" t="s">
        <v>371</v>
      </c>
    </row>
    <row r="14" spans="1:3">
      <c r="A14" s="4" t="s">
        <v>372</v>
      </c>
      <c r="B14" s="6">
        <f>'07 CAC LTV'!AK8</f>
        <v>972.919196010896</v>
      </c>
      <c r="C14" s="4" t="s">
        <v>373</v>
      </c>
    </row>
    <row r="15" spans="1:3">
      <c r="A15" s="4" t="s">
        <v>374</v>
      </c>
      <c r="B15" s="8">
        <f>'07 CAC LTV'!AK14</f>
        <v>77.6318723373553</v>
      </c>
      <c r="C15" s="4" t="s">
        <v>375</v>
      </c>
    </row>
    <row r="17" ht="22" customHeight="1" spans="1:4">
      <c r="A17" s="9" t="s">
        <v>376</v>
      </c>
    </row>
    <row r="18" ht="28" spans="1:4">
      <c r="A18" s="3" t="s">
        <v>284</v>
      </c>
      <c r="B18" s="3" t="s">
        <v>285</v>
      </c>
      <c r="C18" s="3" t="s">
        <v>240</v>
      </c>
      <c r="D18" s="3" t="s">
        <v>246</v>
      </c>
    </row>
    <row r="19" spans="1:4">
      <c r="A19" t="s">
        <v>153</v>
      </c>
      <c r="B19" s="10">
        <f>'03 Revenue Forecast'!B17</f>
        <v>5134401.25</v>
      </c>
      <c r="C19" s="10">
        <f>'05 Profitability'!B11</f>
        <v>-4229550.8125</v>
      </c>
      <c r="D19" s="10">
        <f>'05 Profitability'!B17</f>
        <v>5770449.1875</v>
      </c>
    </row>
    <row r="20" spans="1:4">
      <c r="A20" t="s">
        <v>154</v>
      </c>
      <c r="B20" s="10">
        <f>'03 Revenue Forecast'!C17</f>
        <v>6770398.45625</v>
      </c>
      <c r="C20" s="10">
        <f>'05 Profitability'!C11</f>
        <v>-2786852.3465625</v>
      </c>
      <c r="D20" s="10">
        <f>'05 Profitability'!C17</f>
        <v>2983596.8409375</v>
      </c>
    </row>
    <row r="21" spans="1:4">
      <c r="A21" t="s">
        <v>155</v>
      </c>
      <c r="B21" s="10">
        <f>'03 Revenue Forecast'!D17</f>
        <v>8460377.31653125</v>
      </c>
      <c r="C21" s="10">
        <f>'05 Profitability'!D11</f>
        <v>-1299197.63849531</v>
      </c>
      <c r="D21" s="10">
        <f>'05 Profitability'!D17</f>
        <v>1684399.20244219</v>
      </c>
    </row>
    <row r="22" spans="1:4">
      <c r="A22" t="s">
        <v>156</v>
      </c>
      <c r="B22" s="10">
        <f>'03 Revenue Forecast'!E17</f>
        <v>10209456.7706089</v>
      </c>
      <c r="C22" s="10">
        <f>'05 Profitability'!E11</f>
        <v>237752.452250462</v>
      </c>
      <c r="D22" s="10">
        <f>'05 Profitability'!E17</f>
        <v>1922151.65469265</v>
      </c>
    </row>
    <row r="23" spans="1:4">
      <c r="A23" t="s">
        <v>157</v>
      </c>
      <c r="B23" s="10">
        <f>'03 Revenue Forecast'!F17</f>
        <v>12023077.977149</v>
      </c>
      <c r="C23" s="10">
        <f>'05 Profitability'!F11</f>
        <v>1828604.11529303</v>
      </c>
      <c r="D23" s="10">
        <f>'05 Profitability'!F17</f>
        <v>3750755.76998568</v>
      </c>
    </row>
    <row r="24" spans="1:4">
      <c r="A24" t="s">
        <v>158</v>
      </c>
      <c r="B24" s="10">
        <f>'03 Revenue Forecast'!G17</f>
        <v>13907029.8520003</v>
      </c>
      <c r="C24" s="10">
        <f>'05 Profitability'!G11</f>
        <v>3478251.64078328</v>
      </c>
      <c r="D24" s="10">
        <f>'05 Profitability'!G17</f>
        <v>7229007.41076897</v>
      </c>
    </row>
    <row r="25" spans="1:4">
      <c r="A25" t="s">
        <v>159</v>
      </c>
      <c r="B25" s="10">
        <f>'03 Revenue Forecast'!H17</f>
        <v>15867476.4961275</v>
      </c>
      <c r="C25" s="10">
        <f>'05 Profitability'!H11</f>
        <v>5191900.00381353</v>
      </c>
      <c r="D25" s="10">
        <f>'05 Profitability'!H17</f>
        <v>12420907.4145825</v>
      </c>
    </row>
    <row r="26" spans="1:4">
      <c r="A26" t="s">
        <v>160</v>
      </c>
      <c r="B26" s="10">
        <f>'03 Revenue Forecast'!I17</f>
        <v>17910986.6641422</v>
      </c>
      <c r="C26" s="10">
        <f>'05 Profitability'!I11</f>
        <v>6975089.10300622</v>
      </c>
      <c r="D26" s="10">
        <f>'05 Profitability'!I17</f>
        <v>19395996.5175887</v>
      </c>
    </row>
    <row r="27" spans="1:4">
      <c r="A27" t="s">
        <v>161</v>
      </c>
      <c r="B27" s="10">
        <f>'03 Revenue Forecast'!J17</f>
        <v>20044565.4365615</v>
      </c>
      <c r="C27" s="10">
        <f>'05 Profitability'!J11</f>
        <v>8833719.78419487</v>
      </c>
      <c r="D27" s="10">
        <f>'05 Profitability'!J17</f>
        <v>28229716.3017836</v>
      </c>
    </row>
    <row r="28" spans="1:4">
      <c r="A28" t="s">
        <v>162</v>
      </c>
      <c r="B28" s="10">
        <f>'03 Revenue Forecast'!K17</f>
        <v>22275688.2721283</v>
      </c>
      <c r="C28" s="10">
        <f>'05 Profitability'!K11</f>
        <v>10774081.7905919</v>
      </c>
      <c r="D28" s="10">
        <f>'05 Profitability'!K17</f>
        <v>39003798.0923755</v>
      </c>
    </row>
    <row r="29" spans="1:4">
      <c r="A29" t="s">
        <v>163</v>
      </c>
      <c r="B29" s="10">
        <f>'03 Revenue Forecast'!L17</f>
        <v>24612337.6308423</v>
      </c>
      <c r="C29" s="10">
        <f>'05 Profitability'!L11</f>
        <v>12802883.792195</v>
      </c>
      <c r="D29" s="10">
        <f>'05 Profitability'!L17</f>
        <v>51806681.8845705</v>
      </c>
    </row>
    <row r="30" spans="1:4">
      <c r="A30" t="s">
        <v>164</v>
      </c>
      <c r="B30" s="10">
        <f>'03 Revenue Forecast'!M17</f>
        <v>27063042.3738666</v>
      </c>
      <c r="C30" s="10">
        <f>'05 Profitability'!M11</f>
        <v>14927285.6594872</v>
      </c>
      <c r="D30" s="10">
        <f>'05 Profitability'!M17</f>
        <v>66733967.5440577</v>
      </c>
    </row>
    <row r="31" spans="1:4">
      <c r="A31" t="s">
        <v>165</v>
      </c>
      <c r="B31" s="10">
        <f>'03 Revenue Forecast'!N17</f>
        <v>29636920.1633001</v>
      </c>
      <c r="C31" s="10">
        <f>'05 Profitability'!N11</f>
        <v>17154933.1598213</v>
      </c>
      <c r="D31" s="10">
        <f>'05 Profitability'!N17</f>
        <v>83888900.703879</v>
      </c>
    </row>
    <row r="32" spans="1:4">
      <c r="A32" t="s">
        <v>166</v>
      </c>
      <c r="B32" s="10">
        <f>'03 Revenue Forecast'!O17</f>
        <v>32343723.103051</v>
      </c>
      <c r="C32" s="10">
        <f>'05 Profitability'!O11</f>
        <v>19493995.2693291</v>
      </c>
      <c r="D32" s="10">
        <f>'05 Profitability'!O17</f>
        <v>103382895.973208</v>
      </c>
    </row>
    <row r="33" spans="1:4">
      <c r="A33" t="s">
        <v>167</v>
      </c>
      <c r="B33" s="10">
        <f>'03 Revenue Forecast'!P17</f>
        <v>35193886.8818336</v>
      </c>
      <c r="C33" s="10">
        <f>'05 Profitability'!P11</f>
        <v>21953204.3088626</v>
      </c>
      <c r="D33" s="10">
        <f>'05 Profitability'!P17</f>
        <v>125336100.282071</v>
      </c>
    </row>
    <row r="34" spans="1:4">
      <c r="A34" t="s">
        <v>168</v>
      </c>
      <c r="B34" s="10">
        <f>'03 Revenue Forecast'!Q17</f>
        <v>38198583.7007734</v>
      </c>
      <c r="C34" s="10">
        <f>'05 Profitability'!Q11</f>
        <v>24541899.1294571</v>
      </c>
      <c r="D34" s="10">
        <f>'05 Profitability'!Q17</f>
        <v>149877999.411528</v>
      </c>
    </row>
    <row r="35" spans="1:4">
      <c r="A35" t="s">
        <v>169</v>
      </c>
      <c r="B35" s="10">
        <f>'03 Revenue Forecast'!R17</f>
        <v>41369779.2913915</v>
      </c>
      <c r="C35" s="10">
        <f>'05 Profitability'!R11</f>
        <v>27270071.59122</v>
      </c>
      <c r="D35" s="10">
        <f>'05 Profitability'!R17</f>
        <v>177148071.002748</v>
      </c>
    </row>
    <row r="36" spans="1:4">
      <c r="A36" t="s">
        <v>170</v>
      </c>
      <c r="B36" s="10">
        <f>'03 Revenue Forecast'!S17</f>
        <v>44720294.3549998</v>
      </c>
      <c r="C36" s="10">
        <f>'05 Profitability'!S11</f>
        <v>30148416.5995218</v>
      </c>
      <c r="D36" s="10">
        <f>'05 Profitability'!S17</f>
        <v>207296487.602269</v>
      </c>
    </row>
    <row r="37" spans="1:4">
      <c r="A37" t="s">
        <v>171</v>
      </c>
      <c r="B37" s="10">
        <f>'03 Revenue Forecast'!T17</f>
        <v>48263870.7819559</v>
      </c>
      <c r="C37" s="10">
        <f>'05 Profitability'!T11</f>
        <v>33188385.9840231</v>
      </c>
      <c r="D37" s="10">
        <f>'05 Profitability'!T17</f>
        <v>240484873.586293</v>
      </c>
    </row>
    <row r="38" spans="1:4">
      <c r="A38" t="s">
        <v>172</v>
      </c>
      <c r="B38" s="10">
        <f>'03 Revenue Forecast'!U17</f>
        <v>52015243.0389759</v>
      </c>
      <c r="C38" s="10">
        <f>'05 Profitability'!U11</f>
        <v>36402246.5295719</v>
      </c>
      <c r="D38" s="10">
        <f>'05 Profitability'!U17</f>
        <v>276887120.115865</v>
      </c>
    </row>
    <row r="39" spans="1:4">
      <c r="A39" t="s">
        <v>173</v>
      </c>
      <c r="B39" s="10">
        <f>'03 Revenue Forecast'!V17</f>
        <v>55990215.1450002</v>
      </c>
      <c r="C39" s="10">
        <f>'05 Profitability'!V11</f>
        <v>39803142.4934941</v>
      </c>
      <c r="D39" s="10">
        <f>'05 Profitability'!V17</f>
        <v>316690262.609359</v>
      </c>
    </row>
    <row r="40" spans="1:4">
      <c r="A40" t="s">
        <v>174</v>
      </c>
      <c r="B40" s="10">
        <f>'03 Revenue Forecast'!W17</f>
        <v>60205743.6911639</v>
      </c>
      <c r="C40" s="10">
        <f>'05 Profitability'!W11</f>
        <v>43405162.9714672</v>
      </c>
      <c r="D40" s="10">
        <f>'05 Profitability'!W17</f>
        <v>360095425.580826</v>
      </c>
    </row>
    <row r="41" spans="1:4">
      <c r="A41" t="s">
        <v>175</v>
      </c>
      <c r="B41" s="10">
        <f>'03 Revenue Forecast'!X17</f>
        <v>64680027.398488</v>
      </c>
      <c r="C41" s="10">
        <f>'05 Profitability'!X11</f>
        <v>47223414.5041864</v>
      </c>
      <c r="D41" s="10">
        <f>'05 Profitability'!X17</f>
        <v>407318840.085012</v>
      </c>
    </row>
    <row r="42" spans="1:4">
      <c r="A42" t="s">
        <v>176</v>
      </c>
      <c r="B42" s="10">
        <f>'03 Revenue Forecast'!Y17</f>
        <v>69432603.7482409</v>
      </c>
      <c r="C42" s="10">
        <f>'05 Profitability'!Y11</f>
        <v>51274099.3496186</v>
      </c>
      <c r="D42" s="10">
        <f>'05 Profitability'!Y17</f>
        <v>458592939.434631</v>
      </c>
    </row>
    <row r="43" spans="1:4">
      <c r="A43" t="s">
        <v>177</v>
      </c>
      <c r="B43" s="10">
        <f>'03 Revenue Forecast'!Z17</f>
        <v>74484453.264806</v>
      </c>
      <c r="C43" s="10">
        <f>'05 Profitability'!Z11</f>
        <v>55574599.8810173</v>
      </c>
      <c r="D43" s="10">
        <f>'05 Profitability'!Z17</f>
        <v>514167539.315648</v>
      </c>
    </row>
    <row r="44" spans="1:4">
      <c r="A44" t="s">
        <v>178</v>
      </c>
      <c r="B44" s="10">
        <f>'03 Revenue Forecast'!AA17</f>
        <v>79858112.0796496</v>
      </c>
      <c r="C44" s="10">
        <f>'05 Profitability'!AA11</f>
        <v>60143569.6092805</v>
      </c>
      <c r="D44" s="10">
        <f>'05 Profitability'!AA17</f>
        <v>574311108.924929</v>
      </c>
    </row>
    <row r="45" spans="1:4">
      <c r="A45" t="s">
        <v>179</v>
      </c>
      <c r="B45" s="10">
        <f>'03 Revenue Forecast'!AB17</f>
        <v>85577793.4579462</v>
      </c>
      <c r="C45" s="10">
        <f>'05 Profitability'!AB11</f>
        <v>65001031.3699417</v>
      </c>
      <c r="D45" s="10">
        <f>'05 Profitability'!AB17</f>
        <v>639312140.29487</v>
      </c>
    </row>
    <row r="46" spans="1:4">
      <c r="A46" t="s">
        <v>180</v>
      </c>
      <c r="B46" s="10">
        <f>'03 Revenue Forecast'!AC17</f>
        <v>91669519.0269621</v>
      </c>
      <c r="C46" s="10">
        <f>'05 Profitability'!AC11</f>
        <v>70168483.2603856</v>
      </c>
      <c r="D46" s="10">
        <f>'05 Profitability'!AC17</f>
        <v>709480623.555256</v>
      </c>
    </row>
    <row r="47" spans="1:4">
      <c r="A47" t="s">
        <v>181</v>
      </c>
      <c r="B47" s="10">
        <f>'03 Revenue Forecast'!AD17</f>
        <v>98161260.5078231</v>
      </c>
      <c r="C47" s="10">
        <f>'05 Profitability'!AD11</f>
        <v>75669012.9620856</v>
      </c>
      <c r="D47" s="10">
        <f>'05 Profitability'!AD17</f>
        <v>785149636.517341</v>
      </c>
    </row>
    <row r="48" spans="1:4">
      <c r="A48" t="s">
        <v>182</v>
      </c>
      <c r="B48" s="10">
        <f>'03 Revenue Forecast'!AE17</f>
        <v>105083092.820244</v>
      </c>
      <c r="C48" s="10">
        <f>'05 Profitability'!AE11</f>
        <v>81527421.1361149</v>
      </c>
      <c r="D48" s="10">
        <f>'05 Profitability'!AE17</f>
        <v>866677057.653456</v>
      </c>
    </row>
    <row r="49" spans="1:4">
      <c r="A49" t="s">
        <v>183</v>
      </c>
      <c r="B49" s="10">
        <f>'03 Revenue Forecast'!AF17</f>
        <v>112467359.503649</v>
      </c>
      <c r="C49" s="10">
        <f>'05 Profitability'!AF11</f>
        <v>87770354.6382663</v>
      </c>
      <c r="D49" s="10">
        <f>'05 Profitability'!AF17</f>
        <v>954447412.291723</v>
      </c>
    </row>
    <row r="50" spans="1:4">
      <c r="A50" t="s">
        <v>184</v>
      </c>
      <c r="B50" s="10">
        <f>'03 Revenue Forecast'!AG17</f>
        <v>120348851.47838</v>
      </c>
      <c r="C50" s="10">
        <f>'05 Profitability'!AG11</f>
        <v>94426450.3632352</v>
      </c>
      <c r="D50" s="10">
        <f>'05 Profitability'!AG17</f>
        <v>1048873862.65496</v>
      </c>
    </row>
    <row r="51" spans="1:4">
      <c r="A51" t="s">
        <v>185</v>
      </c>
      <c r="B51" s="10">
        <f>'03 Revenue Forecast'!AH17</f>
        <v>128765000.257996</v>
      </c>
      <c r="C51" s="10">
        <f>'05 Profitability'!AH11</f>
        <v>101526490.595916</v>
      </c>
      <c r="D51" s="10">
        <f>'05 Profitability'!AH17</f>
        <v>1150400353.25087</v>
      </c>
    </row>
    <row r="52" spans="1:4">
      <c r="A52" t="s">
        <v>186</v>
      </c>
      <c r="B52" s="10">
        <f>'03 Revenue Forecast'!AI17</f>
        <v>137756086.818504</v>
      </c>
      <c r="C52" s="10">
        <f>'05 Profitability'!AI11</f>
        <v>109103570.822433</v>
      </c>
      <c r="D52" s="10">
        <f>'05 Profitability'!AI17</f>
        <v>1259503924.07331</v>
      </c>
    </row>
    <row r="53" spans="1:4">
      <c r="A53" t="s">
        <v>187</v>
      </c>
      <c r="B53" s="10">
        <f>'03 Revenue Forecast'!AJ17</f>
        <v>147365467.433608</v>
      </c>
      <c r="C53" s="10">
        <f>'05 Profitability'!AJ11</f>
        <v>117193281.034584</v>
      </c>
      <c r="D53" s="10">
        <f>'05 Profitability'!AJ17</f>
        <v>1376697205.10789</v>
      </c>
    </row>
    <row r="54" spans="1:4">
      <c r="A54" t="s">
        <v>188</v>
      </c>
      <c r="B54" s="10">
        <f>'03 Revenue Forecast'!AK17</f>
        <v>157639817.897244</v>
      </c>
      <c r="C54" s="10">
        <f>'05 Profitability'!AK11</f>
        <v>125833901.649534</v>
      </c>
      <c r="D54" s="10">
        <f>'05 Profitability'!AK17</f>
        <v>1502531106.75742</v>
      </c>
    </row>
  </sheetData>
  <mergeCells count="3">
    <mergeCell ref="A1:L1"/>
    <mergeCell ref="A2:L2"/>
    <mergeCell ref="A17:L17"/>
  </mergeCells>
  <conditionalFormatting sqref="B5:B15">
    <cfRule type="dataBar" priority="1">
      <dataBar>
        <cfvo type="min"/>
        <cfvo type="max"/>
        <color rgb="FF63B72D"/>
      </dataBar>
      <extLst>
        <ext xmlns:x14="http://schemas.microsoft.com/office/spreadsheetml/2009/9/main" uri="{B025F937-C7B1-47D3-B67F-A62EFF666E3E}">
          <x14:id>{11b62e4d-81c9-4acf-9fe4-a38b5d70d8bb}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b62e4d-81c9-4acf-9fe4-a38b5d70d8b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B5:B15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:G1"/>
    </sheetView>
  </sheetViews>
  <sheetFormatPr defaultColWidth="9" defaultRowHeight="14" outlineLevelCol="6"/>
  <cols>
    <col min="1" max="1" width="28" customWidth="1"/>
    <col min="2" max="2" width="70" customWidth="1"/>
    <col min="3" max="3" width="60" customWidth="1"/>
  </cols>
  <sheetData>
    <row r="1" ht="30" customHeight="1" spans="1:3">
      <c r="A1" s="1" t="s">
        <v>377</v>
      </c>
    </row>
    <row r="2" ht="30" customHeight="1" spans="1:3">
      <c r="A2" s="2" t="s">
        <v>378</v>
      </c>
    </row>
    <row r="4" spans="1:3">
      <c r="A4" s="3" t="s">
        <v>379</v>
      </c>
      <c r="B4" s="3" t="s">
        <v>380</v>
      </c>
      <c r="C4" s="3" t="s">
        <v>381</v>
      </c>
    </row>
    <row r="5" ht="42" customHeight="1" spans="1:3">
      <c r="A5" s="4" t="s">
        <v>382</v>
      </c>
      <c r="B5" s="4" t="s">
        <v>383</v>
      </c>
      <c r="C5" s="4" t="s">
        <v>384</v>
      </c>
    </row>
    <row r="6" ht="42" customHeight="1" spans="1:3">
      <c r="A6" s="4" t="s">
        <v>385</v>
      </c>
      <c r="B6" s="4" t="s">
        <v>386</v>
      </c>
      <c r="C6" s="4" t="s">
        <v>387</v>
      </c>
    </row>
    <row r="7" ht="42" customHeight="1" spans="1:3">
      <c r="A7" s="4" t="s">
        <v>388</v>
      </c>
      <c r="B7" s="4" t="s">
        <v>389</v>
      </c>
      <c r="C7" s="4" t="s">
        <v>390</v>
      </c>
    </row>
    <row r="8" ht="42" customHeight="1" spans="1:3">
      <c r="A8" s="4" t="s">
        <v>391</v>
      </c>
      <c r="B8" s="4" t="s">
        <v>392</v>
      </c>
      <c r="C8" s="4" t="s">
        <v>393</v>
      </c>
    </row>
    <row r="9" ht="42" customHeight="1" spans="1:3">
      <c r="A9" s="4" t="s">
        <v>394</v>
      </c>
      <c r="B9" s="4" t="s">
        <v>395</v>
      </c>
      <c r="C9" s="4" t="s">
        <v>396</v>
      </c>
    </row>
    <row r="10" ht="42" customHeight="1" spans="1:3">
      <c r="A10" s="4" t="s">
        <v>397</v>
      </c>
      <c r="B10" s="4" t="s">
        <v>398</v>
      </c>
      <c r="C10" s="4" t="s">
        <v>399</v>
      </c>
    </row>
    <row r="11" ht="42" customHeight="1" spans="1:3">
      <c r="A11" s="4" t="s">
        <v>400</v>
      </c>
      <c r="B11" s="4" t="s">
        <v>401</v>
      </c>
      <c r="C11" s="4" t="s">
        <v>402</v>
      </c>
    </row>
    <row r="12" ht="42" customHeight="1" spans="1:3">
      <c r="A12" s="4" t="s">
        <v>403</v>
      </c>
      <c r="B12" s="4" t="s">
        <v>404</v>
      </c>
      <c r="C12" s="4" t="s">
        <v>405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 Cover</vt:lpstr>
      <vt:lpstr>01 Assumptions</vt:lpstr>
      <vt:lpstr>02 User Forecast</vt:lpstr>
      <vt:lpstr>03 Revenue Forecast</vt:lpstr>
      <vt:lpstr>04 Cost Forecast</vt:lpstr>
      <vt:lpstr>05 Profitability</vt:lpstr>
      <vt:lpstr>06 Gross Margin</vt:lpstr>
      <vt:lpstr>07 CAC LTV</vt:lpstr>
      <vt:lpstr>08 Break Even</vt:lpstr>
      <vt:lpstr>09 Scenarios</vt:lpstr>
      <vt:lpstr>10 Meeting Subs</vt:lpstr>
      <vt:lpstr>11 Webinar Events</vt:lpstr>
      <vt:lpstr>12 Replay Revenue</vt:lpstr>
      <vt:lpstr>13 Enterprise API Partner</vt:lpstr>
      <vt:lpstr>14 Dashboard</vt:lpstr>
      <vt:lpstr>15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Olufemi Wiilliams</cp:lastModifiedBy>
  <dcterms:created xsi:type="dcterms:W3CDTF">2026-06-28T11:30:43Z</dcterms:created>
  <dcterms:modified xsi:type="dcterms:W3CDTF">2026-06-28T11:40:47Z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C0DAEFC3DFA0498C9E60AF969A4A7013_13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